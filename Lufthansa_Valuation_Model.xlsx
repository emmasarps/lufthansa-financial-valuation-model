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DCF Valuation" sheetId="7" state="visible" r:id="rId7"/>
    <sheet xmlns:r="http://schemas.openxmlformats.org/officeDocument/2006/relationships" name="Comparable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Dashboard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;\(0.0%\);\-"/>
    <numFmt numFmtId="165" formatCode="#,##0;\(#,##0\);\-"/>
    <numFmt numFmtId="166" formatCode="0.00%;\(0.00%\);\-"/>
    <numFmt numFmtId="167" formatCode="#,##0.00;\(#,##0.00\);\-"/>
    <numFmt numFmtId="168" formatCode="#,##0.000"/>
    <numFmt numFmtId="169" formatCode="0.0\x"/>
  </numFmts>
  <fonts count="4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7F6000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375623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C55A11"/>
      <sz val="10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BDD7EE"/>
      <sz val="8.5"/>
    </font>
    <font>
      <name val="Arial"/>
      <charset val="1"/>
      <family val="0"/>
      <b val="1"/>
      <color rgb="FF003366"/>
      <sz val="8.5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003366"/>
      <sz val="16"/>
    </font>
    <font>
      <name val="Arial"/>
      <charset val="1"/>
      <family val="0"/>
      <i val="1"/>
      <color rgb="FFBDD7EE"/>
      <sz val="8.5"/>
    </font>
    <font>
      <name val="Arial"/>
      <charset val="1"/>
      <family val="0"/>
      <i val="1"/>
      <color rgb="FF003366"/>
      <sz val="8.5"/>
    </font>
    <font>
      <name val="Arial"/>
      <charset val="1"/>
      <family val="0"/>
      <color rgb="FF008000"/>
      <sz val="9"/>
    </font>
    <font>
      <name val="Arial"/>
      <charset val="1"/>
      <family val="0"/>
      <color rgb="FF000000"/>
      <sz val="9.5"/>
    </font>
    <font>
      <name val="Arial"/>
      <charset val="1"/>
      <family val="0"/>
      <color rgb="FF008000"/>
      <sz val="9.5"/>
    </font>
    <font>
      <name val="Arial"/>
      <charset val="1"/>
      <family val="0"/>
      <b val="1"/>
      <color rgb="FFFFFFFF"/>
      <sz val="8.5"/>
    </font>
    <font>
      <name val="Arial"/>
      <charset val="1"/>
      <family val="0"/>
      <b val="1"/>
      <sz val="8.5"/>
    </font>
    <font>
      <name val="Arial"/>
      <charset val="1"/>
      <family val="0"/>
      <color rgb="FF008000"/>
      <sz val="8.5"/>
    </font>
    <font>
      <name val="Arial"/>
      <charset val="1"/>
      <family val="0"/>
      <color rgb="FF000000"/>
      <sz val="8.5"/>
    </font>
    <font>
      <name val="Arial"/>
      <charset val="1"/>
      <family val="0"/>
      <b val="1"/>
      <color rgb="FFC55A11"/>
      <sz val="8.5"/>
    </font>
    <font>
      <name val="Arial"/>
      <charset val="1"/>
      <family val="0"/>
      <b val="1"/>
      <color rgb="FF000000"/>
      <sz val="9.5"/>
    </font>
    <font>
      <name val="Arial"/>
      <charset val="1"/>
      <family val="0"/>
      <b val="1"/>
      <color rgb="FF008000"/>
      <sz val="9.5"/>
    </font>
    <font>
      <name val="Arial"/>
      <charset val="1"/>
      <family val="0"/>
      <sz val="8.5"/>
    </font>
    <font>
      <name val="Arial"/>
      <charset val="1"/>
      <family val="0"/>
      <b val="1"/>
      <color rgb="FF003366"/>
      <sz val="12"/>
    </font>
    <font>
      <name val="Arial"/>
      <charset val="1"/>
      <family val="0"/>
      <b val="1"/>
      <sz val="9"/>
    </font>
    <font>
      <name val="Arial"/>
      <charset val="1"/>
      <family val="0"/>
      <i val="1"/>
      <color rgb="FF595959"/>
      <sz val="8.5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3366"/>
      <sz val="9"/>
    </font>
    <font>
      <name val="Arial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FF003366"/>
        <bgColor rgb="FF1F4E79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CE6F1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E2EFDA"/>
      </patternFill>
    </fill>
    <fill>
      <patternFill patternType="solid">
        <fgColor rgb="FF2E75B6"/>
        <bgColor rgb="FF0563C1"/>
      </patternFill>
    </fill>
    <fill>
      <patternFill patternType="solid">
        <fgColor rgb="FFBF8F00"/>
        <bgColor rgb="FFC55A11"/>
      </patternFill>
    </fill>
    <fill>
      <patternFill patternType="solid">
        <fgColor rgb="FFF2F2F2"/>
        <bgColor rgb="FFE2EFDA"/>
      </patternFill>
    </fill>
    <fill>
      <patternFill patternType="solid">
        <fgColor rgb="001F4E7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6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7" fillId="5" borderId="1" applyAlignment="1" pivotButton="0" quotePrefix="0" xfId="0">
      <alignment horizontal="general" vertical="bottom"/>
    </xf>
    <xf numFmtId="166" fontId="15" fillId="7" borderId="1" applyAlignment="1" pivotButton="0" quotePrefix="0" xfId="0">
      <alignment horizontal="general" vertical="bottom"/>
    </xf>
    <xf numFmtId="166" fontId="17" fillId="7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7" fontId="17" fillId="0" borderId="1" applyAlignment="1" pivotButton="0" quotePrefix="0" xfId="0">
      <alignment horizontal="right" vertical="center"/>
    </xf>
    <xf numFmtId="0" fontId="19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right" vertical="center"/>
    </xf>
    <xf numFmtId="165" fontId="20" fillId="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1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21" fillId="2" borderId="0" applyAlignment="1" pivotButton="0" quotePrefix="0" xfId="0">
      <alignment horizontal="center" vertical="center" wrapText="1"/>
    </xf>
    <xf numFmtId="165" fontId="22" fillId="8" borderId="1" applyAlignment="1" pivotButton="0" quotePrefix="0" xfId="0">
      <alignment horizontal="right" vertical="center"/>
    </xf>
    <xf numFmtId="165" fontId="22" fillId="5" borderId="1" applyAlignment="1" pivotButton="0" quotePrefix="0" xfId="0">
      <alignment horizontal="right" vertical="center"/>
    </xf>
    <xf numFmtId="165" fontId="22" fillId="9" borderId="1" applyAlignment="1" pivotButton="0" quotePrefix="0" xfId="0">
      <alignment horizontal="right" vertical="center"/>
    </xf>
    <xf numFmtId="165" fontId="1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17" fillId="8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general" vertical="bottom"/>
    </xf>
    <xf numFmtId="165" fontId="7" fillId="7" borderId="1" applyAlignment="1" pivotButton="0" quotePrefix="0" xfId="0">
      <alignment horizontal="right" vertical="center"/>
    </xf>
    <xf numFmtId="1" fontId="1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6" fontId="20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4" fontId="15" fillId="7" borderId="1" applyAlignment="1" pivotButton="0" quotePrefix="0" xfId="0">
      <alignment horizontal="right" vertical="center"/>
    </xf>
    <xf numFmtId="4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169" fontId="7" fillId="9" borderId="1" applyAlignment="1" pivotButton="0" quotePrefix="0" xfId="0">
      <alignment horizontal="right" vertical="center"/>
    </xf>
    <xf numFmtId="169" fontId="17" fillId="9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169" fontId="7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general" vertical="bottom"/>
    </xf>
    <xf numFmtId="169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13" fillId="7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165" fontId="27" fillId="10" borderId="1" applyAlignment="1" pivotButton="0" quotePrefix="0" xfId="0">
      <alignment horizontal="center" vertical="center"/>
    </xf>
    <xf numFmtId="167" fontId="28" fillId="11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165" fontId="31" fillId="0" borderId="1" applyAlignment="1" pivotButton="0" quotePrefix="0" xfId="0">
      <alignment horizontal="right" vertical="center"/>
    </xf>
    <xf numFmtId="165" fontId="31" fillId="9" borderId="1" applyAlignment="1" pivotButton="0" quotePrefix="0" xfId="0">
      <alignment horizontal="right" vertical="center"/>
    </xf>
    <xf numFmtId="164" fontId="31" fillId="0" borderId="1" applyAlignment="1" pivotButton="0" quotePrefix="0" xfId="0">
      <alignment horizontal="right" vertical="center"/>
    </xf>
    <xf numFmtId="164" fontId="31" fillId="9" borderId="1" applyAlignment="1" pivotButton="0" quotePrefix="0" xfId="0">
      <alignment horizontal="right" vertical="center"/>
    </xf>
    <xf numFmtId="0" fontId="32" fillId="0" borderId="1" applyAlignment="1" pivotButton="0" quotePrefix="0" xfId="0">
      <alignment horizontal="left" vertical="center"/>
    </xf>
    <xf numFmtId="165" fontId="33" fillId="0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left" vertical="center"/>
    </xf>
    <xf numFmtId="165" fontId="36" fillId="9" borderId="1" applyAlignment="1" pivotButton="0" quotePrefix="0" xfId="0">
      <alignment horizontal="right" vertical="center"/>
    </xf>
    <xf numFmtId="165" fontId="37" fillId="9" borderId="1" applyAlignment="1" pivotButton="0" quotePrefix="0" xfId="0">
      <alignment horizontal="right" vertical="center"/>
    </xf>
    <xf numFmtId="169" fontId="38" fillId="9" borderId="1" applyAlignment="1" pivotButton="0" quotePrefix="0" xfId="0">
      <alignment horizontal="right" vertical="center"/>
    </xf>
    <xf numFmtId="169" fontId="37" fillId="9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39" fillId="5" borderId="1" applyAlignment="1" pivotButton="0" quotePrefix="0" xfId="0">
      <alignment horizontal="left" vertical="center"/>
    </xf>
    <xf numFmtId="165" fontId="40" fillId="5" borderId="1" applyAlignment="1" pivotButton="0" quotePrefix="0" xfId="0">
      <alignment horizontal="right" vertical="center"/>
    </xf>
    <xf numFmtId="0" fontId="41" fillId="0" borderId="1" applyAlignment="1" pivotButton="0" quotePrefix="0" xfId="0">
      <alignment horizontal="left" vertical="center"/>
    </xf>
    <xf numFmtId="165" fontId="36" fillId="0" borderId="1" applyAlignment="1" pivotButton="0" quotePrefix="0" xfId="0">
      <alignment horizontal="right" vertical="center"/>
    </xf>
    <xf numFmtId="165" fontId="37" fillId="0" borderId="1" applyAlignment="1" pivotButton="0" quotePrefix="0" xfId="0">
      <alignment horizontal="right" vertical="center"/>
    </xf>
    <xf numFmtId="169" fontId="37" fillId="0" borderId="1" applyAlignment="1" pivotButton="0" quotePrefix="0" xfId="0">
      <alignment horizontal="right" vertical="center"/>
    </xf>
    <xf numFmtId="0" fontId="39" fillId="9" borderId="1" applyAlignment="1" pivotButton="0" quotePrefix="0" xfId="0">
      <alignment horizontal="left" vertical="center"/>
    </xf>
    <xf numFmtId="165" fontId="40" fillId="9" borderId="1" applyAlignment="1" pivotButton="0" quotePrefix="0" xfId="0">
      <alignment horizontal="right" vertical="center"/>
    </xf>
    <xf numFmtId="0" fontId="39" fillId="7" borderId="1" applyAlignment="1" pivotButton="0" quotePrefix="0" xfId="0">
      <alignment horizontal="left" vertical="center"/>
    </xf>
    <xf numFmtId="167" fontId="42" fillId="7" borderId="1" applyAlignment="1" pivotButton="0" quotePrefix="0" xfId="0">
      <alignment horizontal="right" vertical="center"/>
    </xf>
    <xf numFmtId="0" fontId="35" fillId="5" borderId="1" applyAlignment="1" pivotButton="0" quotePrefix="0" xfId="0">
      <alignment horizontal="left" vertical="center"/>
    </xf>
    <xf numFmtId="165" fontId="35" fillId="5" borderId="1" applyAlignment="1" pivotButton="0" quotePrefix="0" xfId="0">
      <alignment horizontal="right" vertical="center"/>
    </xf>
    <xf numFmtId="169" fontId="35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general" vertical="bottom"/>
    </xf>
    <xf numFmtId="167" fontId="33" fillId="0" borderId="1" applyAlignment="1" pivotButton="0" quotePrefix="0" xfId="0">
      <alignment horizontal="right" vertical="center"/>
    </xf>
    <xf numFmtId="0" fontId="43" fillId="7" borderId="1" applyAlignment="1" pivotButton="0" quotePrefix="0" xfId="0">
      <alignment horizontal="left" vertical="center"/>
    </xf>
    <xf numFmtId="167" fontId="42" fillId="7" borderId="1" applyAlignment="1" pivotButton="0" quotePrefix="0" xfId="0">
      <alignment horizontal="right" vertical="center"/>
    </xf>
    <xf numFmtId="0" fontId="44" fillId="0" borderId="1" applyAlignment="1" pivotButton="0" quotePrefix="0" xfId="0">
      <alignment horizontal="left" vertical="center"/>
    </xf>
    <xf numFmtId="166" fontId="44" fillId="0" borderId="1" applyAlignment="1" pivotButton="0" quotePrefix="0" xfId="0">
      <alignment horizontal="right" vertical="center"/>
    </xf>
    <xf numFmtId="0" fontId="44" fillId="12" borderId="1" applyAlignment="1" pivotButton="0" quotePrefix="0" xfId="0">
      <alignment horizontal="left" vertical="center"/>
    </xf>
    <xf numFmtId="167" fontId="45" fillId="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general" vertical="bottom"/>
    </xf>
    <xf numFmtId="167" fontId="46" fillId="7" borderId="1" applyAlignment="1" pivotButton="0" quotePrefix="0" xfId="0">
      <alignment horizontal="center" vertical="center"/>
    </xf>
    <xf numFmtId="0" fontId="44" fillId="12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6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7" fillId="5" borderId="1" applyAlignment="1" pivotButton="0" quotePrefix="0" xfId="0">
      <alignment horizontal="general" vertical="bottom"/>
    </xf>
    <xf numFmtId="166" fontId="15" fillId="7" borderId="1" applyAlignment="1" pivotButton="0" quotePrefix="0" xfId="0">
      <alignment horizontal="general" vertical="bottom"/>
    </xf>
    <xf numFmtId="166" fontId="17" fillId="7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7" fontId="17" fillId="0" borderId="1" applyAlignment="1" pivotButton="0" quotePrefix="0" xfId="0">
      <alignment horizontal="right" vertical="center"/>
    </xf>
    <xf numFmtId="0" fontId="19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right" vertical="center"/>
    </xf>
    <xf numFmtId="165" fontId="20" fillId="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1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21" fillId="2" borderId="0" applyAlignment="1" pivotButton="0" quotePrefix="0" xfId="0">
      <alignment horizontal="center" vertical="center" wrapText="1"/>
    </xf>
    <xf numFmtId="165" fontId="22" fillId="8" borderId="1" applyAlignment="1" pivotButton="0" quotePrefix="0" xfId="0">
      <alignment horizontal="right" vertical="center"/>
    </xf>
    <xf numFmtId="165" fontId="22" fillId="5" borderId="1" applyAlignment="1" pivotButton="0" quotePrefix="0" xfId="0">
      <alignment horizontal="right" vertical="center"/>
    </xf>
    <xf numFmtId="165" fontId="22" fillId="9" borderId="1" applyAlignment="1" pivotButton="0" quotePrefix="0" xfId="0">
      <alignment horizontal="right" vertical="center"/>
    </xf>
    <xf numFmtId="165" fontId="1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17" fillId="8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general" vertical="bottom"/>
    </xf>
    <xf numFmtId="165" fontId="7" fillId="7" borderId="1" applyAlignment="1" pivotButton="0" quotePrefix="0" xfId="0">
      <alignment horizontal="right" vertical="center"/>
    </xf>
    <xf numFmtId="1" fontId="1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6" fontId="20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4" fontId="15" fillId="7" borderId="1" applyAlignment="1" pivotButton="0" quotePrefix="0" xfId="0">
      <alignment horizontal="right" vertical="center"/>
    </xf>
    <xf numFmtId="4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169" fontId="7" fillId="9" borderId="1" applyAlignment="1" pivotButton="0" quotePrefix="0" xfId="0">
      <alignment horizontal="right" vertical="center"/>
    </xf>
    <xf numFmtId="169" fontId="17" fillId="9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169" fontId="7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general" vertical="bottom"/>
    </xf>
    <xf numFmtId="169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13" fillId="7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47" fillId="13" borderId="7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165" fontId="27" fillId="10" borderId="1" applyAlignment="1" pivotButton="0" quotePrefix="0" xfId="0">
      <alignment horizontal="center" vertical="center"/>
    </xf>
    <xf numFmtId="167" fontId="28" fillId="11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165" fontId="31" fillId="0" borderId="1" applyAlignment="1" pivotButton="0" quotePrefix="0" xfId="0">
      <alignment horizontal="right" vertical="center"/>
    </xf>
    <xf numFmtId="165" fontId="31" fillId="9" borderId="1" applyAlignment="1" pivotButton="0" quotePrefix="0" xfId="0">
      <alignment horizontal="right" vertical="center"/>
    </xf>
    <xf numFmtId="164" fontId="31" fillId="0" borderId="1" applyAlignment="1" pivotButton="0" quotePrefix="0" xfId="0">
      <alignment horizontal="right" vertical="center"/>
    </xf>
    <xf numFmtId="164" fontId="31" fillId="9" borderId="1" applyAlignment="1" pivotButton="0" quotePrefix="0" xfId="0">
      <alignment horizontal="right" vertical="center"/>
    </xf>
    <xf numFmtId="0" fontId="32" fillId="0" borderId="1" applyAlignment="1" pivotButton="0" quotePrefix="0" xfId="0">
      <alignment horizontal="left" vertical="center"/>
    </xf>
    <xf numFmtId="165" fontId="33" fillId="0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left" vertical="center"/>
    </xf>
    <xf numFmtId="165" fontId="36" fillId="9" borderId="1" applyAlignment="1" pivotButton="0" quotePrefix="0" xfId="0">
      <alignment horizontal="right" vertical="center"/>
    </xf>
    <xf numFmtId="165" fontId="37" fillId="9" borderId="1" applyAlignment="1" pivotButton="0" quotePrefix="0" xfId="0">
      <alignment horizontal="right" vertical="center"/>
    </xf>
    <xf numFmtId="169" fontId="38" fillId="9" borderId="1" applyAlignment="1" pivotButton="0" quotePrefix="0" xfId="0">
      <alignment horizontal="right" vertical="center"/>
    </xf>
    <xf numFmtId="169" fontId="37" fillId="9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39" fillId="5" borderId="1" applyAlignment="1" pivotButton="0" quotePrefix="0" xfId="0">
      <alignment horizontal="left" vertical="center"/>
    </xf>
    <xf numFmtId="165" fontId="40" fillId="5" borderId="1" applyAlignment="1" pivotButton="0" quotePrefix="0" xfId="0">
      <alignment horizontal="right" vertical="center"/>
    </xf>
    <xf numFmtId="0" fontId="41" fillId="0" borderId="1" applyAlignment="1" pivotButton="0" quotePrefix="0" xfId="0">
      <alignment horizontal="left" vertical="center"/>
    </xf>
    <xf numFmtId="165" fontId="36" fillId="0" borderId="1" applyAlignment="1" pivotButton="0" quotePrefix="0" xfId="0">
      <alignment horizontal="right" vertical="center"/>
    </xf>
    <xf numFmtId="165" fontId="37" fillId="0" borderId="1" applyAlignment="1" pivotButton="0" quotePrefix="0" xfId="0">
      <alignment horizontal="right" vertical="center"/>
    </xf>
    <xf numFmtId="169" fontId="37" fillId="0" borderId="1" applyAlignment="1" pivotButton="0" quotePrefix="0" xfId="0">
      <alignment horizontal="right" vertical="center"/>
    </xf>
    <xf numFmtId="0" fontId="39" fillId="9" borderId="1" applyAlignment="1" pivotButton="0" quotePrefix="0" xfId="0">
      <alignment horizontal="left" vertical="center"/>
    </xf>
    <xf numFmtId="165" fontId="40" fillId="9" borderId="1" applyAlignment="1" pivotButton="0" quotePrefix="0" xfId="0">
      <alignment horizontal="right" vertical="center"/>
    </xf>
    <xf numFmtId="0" fontId="39" fillId="7" borderId="1" applyAlignment="1" pivotButton="0" quotePrefix="0" xfId="0">
      <alignment horizontal="left" vertical="center"/>
    </xf>
    <xf numFmtId="167" fontId="42" fillId="7" borderId="1" applyAlignment="1" pivotButton="0" quotePrefix="0" xfId="0">
      <alignment horizontal="right" vertical="center"/>
    </xf>
    <xf numFmtId="0" fontId="35" fillId="5" borderId="1" applyAlignment="1" pivotButton="0" quotePrefix="0" xfId="0">
      <alignment horizontal="left" vertical="center"/>
    </xf>
    <xf numFmtId="165" fontId="35" fillId="5" borderId="1" applyAlignment="1" pivotButton="0" quotePrefix="0" xfId="0">
      <alignment horizontal="right" vertical="center"/>
    </xf>
    <xf numFmtId="169" fontId="35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general" vertical="bottom"/>
    </xf>
    <xf numFmtId="167" fontId="33" fillId="0" borderId="1" applyAlignment="1" pivotButton="0" quotePrefix="0" xfId="0">
      <alignment horizontal="right" vertical="center"/>
    </xf>
    <xf numFmtId="0" fontId="43" fillId="7" borderId="1" applyAlignment="1" pivotButton="0" quotePrefix="0" xfId="0">
      <alignment horizontal="left" vertical="center"/>
    </xf>
    <xf numFmtId="0" fontId="44" fillId="0" borderId="1" applyAlignment="1" pivotButton="0" quotePrefix="0" xfId="0">
      <alignment horizontal="left" vertical="center"/>
    </xf>
    <xf numFmtId="166" fontId="44" fillId="0" borderId="1" applyAlignment="1" pivotButton="0" quotePrefix="0" xfId="0">
      <alignment horizontal="right" vertical="center"/>
    </xf>
    <xf numFmtId="0" fontId="44" fillId="12" borderId="1" applyAlignment="1" pivotButton="0" quotePrefix="0" xfId="0">
      <alignment horizontal="left" vertical="center"/>
    </xf>
    <xf numFmtId="167" fontId="45" fillId="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general" vertical="bottom"/>
    </xf>
    <xf numFmtId="167" fontId="46" fillId="7" borderId="1" applyAlignment="1" pivotButton="0" quotePrefix="0" xfId="0">
      <alignment horizontal="center" vertical="center"/>
    </xf>
    <xf numFmtId="0" fontId="44" fillId="12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14" min="1" max="1"/>
    <col width="70" customWidth="1" style="114" min="2" max="2"/>
    <col width="22" customWidth="1" style="114" min="3" max="3"/>
  </cols>
  <sheetData>
    <row r="1" ht="27.75" customHeight="1" s="115">
      <c r="A1" s="116" t="inlineStr">
        <is>
          <t>DATA SOURCES &amp; VERIFICATION STATUS  (v4 — July 2026)</t>
        </is>
      </c>
    </row>
    <row r="2" ht="15" customHeight="1" s="115">
      <c r="A2" s="117" t="inlineStr">
        <is>
          <t>Item</t>
        </is>
      </c>
      <c r="B2" s="117" t="inlineStr">
        <is>
          <t>Source / URL</t>
        </is>
      </c>
      <c r="C2" s="117" t="inlineStr">
        <is>
          <t>Status</t>
        </is>
      </c>
    </row>
    <row r="3" ht="42" customHeight="1" s="115">
      <c r="A3" s="118" t="inlineStr">
        <is>
          <t>Revenue 2023–2024</t>
        </is>
      </c>
      <c r="B3" s="119" t="inlineStr">
        <is>
          <t>Lufthansa IR key data page. 2024: €37,581M; 2023: €35,442M. URL: https://investor-relations.lufthansagroup.com/en/corporate-facts/key-data/lufthansa-group.html</t>
        </is>
      </c>
      <c r="C3" s="120" t="inlineStr">
        <is>
          <t>VERIFIED</t>
        </is>
      </c>
    </row>
    <row r="4" ht="42" customHeight="1" s="115">
      <c r="A4" s="118" t="inlineStr">
        <is>
          <t>Revenue 2022</t>
        </is>
      </c>
      <c r="B4" s="119" t="inlineStr">
        <is>
          <t>LH 2022 Full-Year Results Press Release (03 March 2023): Total revenue = €32,770M (EXACT). URL: https://www.lufthansagroup.com/en/newsroom/releases/lufthansa-group-reports-record-revenue-in-2022.html</t>
        </is>
      </c>
      <c r="C4" s="120" t="inlineStr">
        <is>
          <t>VERIFIED</t>
        </is>
      </c>
    </row>
    <row r="5" ht="42" customHeight="1" s="115">
      <c r="A5" s="118" t="inlineStr">
        <is>
          <t>Revenue 2020–2021</t>
        </is>
      </c>
      <c r="B5" s="119" t="inlineStr">
        <is>
          <t>Same LH IR source. 2021: €16,811M; 2020: €13,589M.</t>
        </is>
      </c>
      <c r="C5" s="120" t="inlineStr">
        <is>
          <t>VERIFIED</t>
        </is>
      </c>
    </row>
    <row r="6" ht="42" customHeight="1" s="115">
      <c r="A6" s="118" t="inlineStr">
        <is>
          <t>EBIT 2020–2024</t>
        </is>
      </c>
      <c r="B6" s="119" t="inlineStr">
        <is>
          <t>2024: €1,731M; 2023: €2,669M — LH IR key data page (Reported EBIT). 2022: €1,231M (Reported EBIT) / Adjusted EBIT €1,509M — LH 2022 FY Press Release 03-Mar-2023. Model uses Reported EBIT (€1,231M). Previous value €1,419M was an unverified secondary source figure. 2021: −€1,672M (secondary source ≈ Adjusted EBIT −€1,666M; Reported EBIT was −€2,316M — definitional note: model uses Adjusted-equivalent for 2020-2021, Reported for 2022-2024). 2020: −€5,479M (secondary source). Source: LH IR + 2022 FY Press Release.</t>
        </is>
      </c>
      <c r="C6" s="121" t="inlineStr">
        <is>
          <t>APPROXIMATE</t>
        </is>
      </c>
    </row>
    <row r="7" ht="42" customHeight="1" s="115">
      <c r="A7" s="118" t="inlineStr">
        <is>
          <t>Net Income 2024</t>
        </is>
      </c>
      <c r="B7" s="119" t="inlineStr">
        <is>
          <t>LH IR: Net profit 2024 = €1,380M. Updated from initial €1,425M estimate in v1.</t>
        </is>
      </c>
      <c r="C7" s="120" t="inlineStr">
        <is>
          <t>VERIFIED</t>
        </is>
      </c>
    </row>
    <row r="8" ht="42" customHeight="1" s="115">
      <c r="A8" s="118" t="inlineStr">
        <is>
          <t>D&amp;A 2020–2024</t>
        </is>
      </c>
      <c r="B8" s="119" t="inlineStr">
        <is>
          <t>2022: €2,199M — LH 2023 Annual Report comparative CF statement (VERIFIED). 2020-2021: from secondary sources (MacroTrends USD values converted). Verify in AR CF notes.</t>
        </is>
      </c>
      <c r="C8" s="121" t="inlineStr">
        <is>
          <t>APPROXIMATE</t>
        </is>
      </c>
    </row>
    <row r="9" ht="42" customHeight="1" s="115">
      <c r="A9" s="118" t="inlineStr">
        <is>
          <t>CapEx 2023–2024</t>
        </is>
      </c>
      <c r="B9" s="119" t="inlineStr">
        <is>
          <t>Gross CapEx: 2024 = €3,743M, 2023 = €3,576M. Source: LH IR key figures.</t>
        </is>
      </c>
      <c r="C9" s="120" t="inlineStr">
        <is>
          <t>VERIFIED</t>
        </is>
      </c>
    </row>
    <row r="10" ht="42" customHeight="1" s="115">
      <c r="A10" s="118" t="inlineStr">
        <is>
          <t>Net Debt 2023–2024</t>
        </is>
      </c>
      <c r="B10" s="119" t="inlineStr">
        <is>
          <t>Net indebtedness: 2024 = €5,744M, 2023 = €5,682M. Source: LH IR.</t>
        </is>
      </c>
      <c r="C10" s="120" t="inlineStr">
        <is>
          <t>VERIFIED</t>
        </is>
      </c>
    </row>
    <row r="11" ht="42" customHeight="1" s="115">
      <c r="A11" s="118" t="inlineStr">
        <is>
          <t>Total Assets 2022–2024</t>
        </is>
      </c>
      <c r="B11" s="119" t="inlineStr">
        <is>
          <t>2024: €47,052M; 2023: €45,321M; 2022: €43,335M. LH Annual Reports.</t>
        </is>
      </c>
      <c r="C11" s="120" t="inlineStr">
        <is>
          <t>VERIFIED</t>
        </is>
      </c>
    </row>
    <row r="12" ht="42" customHeight="1" s="115">
      <c r="A12" s="118" t="inlineStr">
        <is>
          <t>Total Assets 2020–2021</t>
        </is>
      </c>
      <c r="B12" s="119" t="inlineStr">
        <is>
          <t>2021: €42,538M — VERIFIED from 2022 FY Press Release (03 March 2023) comparative column. 2020: ~€38,000M — estimated; verify in LH-AR-2020-e.pdf. Source: https://www.lufthansagroup.com/en/newsroom/releases/lufthansa-group-reports-record-revenue-in-2022.html</t>
        </is>
      </c>
      <c r="C12" s="121" t="inlineStr">
        <is>
          <t>PARTIALLY VERIFIED</t>
        </is>
      </c>
    </row>
    <row r="13" ht="42" customHeight="1" s="115">
      <c r="A13" s="118" t="inlineStr">
        <is>
          <t>BS equity 2023–2024</t>
        </is>
      </c>
      <c r="B13" s="119" t="inlineStr">
        <is>
          <t>€11,594M (2024), €9,709M (2023). Source: LH IR.</t>
        </is>
      </c>
      <c r="C13" s="120" t="inlineStr">
        <is>
          <t>VERIFIED</t>
        </is>
      </c>
    </row>
    <row r="14" ht="42" customHeight="1" s="115">
      <c r="A14" s="118" t="inlineStr">
        <is>
          <t>BS equity 2020–2022</t>
        </is>
      </c>
      <c r="B14" s="119" t="inlineStr">
        <is>
          <t>2022: ~€8,500M — LH 2022 FY Press Release: 'Shareholders equity almost doubled to 8.5 billion euros on December 31 2022 (previous year: 4.5 billion euros).' Exact figure from LH-AR-2022-e.pdf equity note not confirmed page-by-page — kept orange/estimated. OCI explanation: net pension obligations fell from ~€6.5bn to ~€2.0bn in 2022 (IFRS IAS 19 remeasurement through OCI, not P&amp;L) — this explains the jump that NI alone (€791M) cannot account for. 2021: €4,490M (model) ≈ €4,500M (press release comparative). 2020: estimated negative (COVID losses wiped equity). Verify: LH Annual Reports.</t>
        </is>
      </c>
      <c r="C14" s="121" t="inlineStr">
        <is>
          <t>PARTIALLY VERIFIED</t>
        </is>
      </c>
    </row>
    <row r="15" ht="42" customHeight="1" s="115">
      <c r="A15" s="118" t="inlineStr">
        <is>
          <t>Dividends Per Share</t>
        </is>
      </c>
      <c r="B15" s="119" t="inlineStr">
        <is>
          <t>2023A: €0.30 declared (FY2023 results AGM 2024). 2024A: €0.30 approx. 2025E: LH guided ~€0.33. Forecast growth modelled conservatively. Source: LH IR press releases.</t>
        </is>
      </c>
      <c r="C15" s="121" t="inlineStr">
        <is>
          <t>APPROXIMATE</t>
        </is>
      </c>
    </row>
    <row r="16" ht="42" customHeight="1" s="115">
      <c r="A16" s="118" t="inlineStr">
        <is>
          <t>Comparable Market Caps</t>
        </is>
      </c>
      <c r="B16" s="119" t="inlineStr">
        <is>
          <t>Approximate Q4 2024; company IR pages. Fluctuate daily — re-verify before use.</t>
        </is>
      </c>
      <c r="C16" s="121" t="inlineStr">
        <is>
          <t>APPROXIMATE</t>
        </is>
      </c>
    </row>
    <row r="17" ht="42" customHeight="1" s="115">
      <c r="A17" s="118" t="inlineStr">
        <is>
          <t>WACC — Risk-Free Rate</t>
        </is>
      </c>
      <c r="B17" s="119" t="inlineStr">
        <is>
          <t>10Y German Bund yield avg 2024 ≈ 2.3–2.6%. Used 2.5%. Source: Deutsche Bundesbank.</t>
        </is>
      </c>
      <c r="C17" s="121" t="inlineStr">
        <is>
          <t>APPROXIMATE</t>
        </is>
      </c>
    </row>
    <row r="18" ht="42" customHeight="1" s="115">
      <c r="A18" s="118" t="inlineStr">
        <is>
          <t>WACC — Beta</t>
        </is>
      </c>
      <c r="B18" s="119" t="inlineStr">
        <is>
          <t>LHA.DE 5Y monthly beta ≈ 1.1–1.3 (Bloomberg/Refinitiv). Used 1.20.</t>
        </is>
      </c>
      <c r="C18" s="121" t="inlineStr">
        <is>
          <t>APPROXIMATE</t>
        </is>
      </c>
    </row>
    <row r="19" ht="42" customHeight="1" s="115">
      <c r="A19" s="118" t="inlineStr">
        <is>
          <t>WACC — ERP</t>
        </is>
      </c>
      <c r="B19" s="119" t="inlineStr">
        <is>
          <t>Damodaran Jan 2024 Western Europe ERP: ~5.5%. Source: pages.stern.nyu.edu/~adamodar/</t>
        </is>
      </c>
      <c r="C19" s="121" t="inlineStr">
        <is>
          <t>APPROXIMATE</t>
        </is>
      </c>
    </row>
    <row r="20" ht="42" customHeight="1" s="115">
      <c r="A20" s="118" t="inlineStr">
        <is>
          <t>Forecast assumptions</t>
        </is>
      </c>
      <c r="B20" s="119" t="inlineStr">
        <is>
          <t>Bottom-up estimates: LH management guidance + IATA forecasts + historical trends. See Assumptions rationale column.</t>
        </is>
      </c>
      <c r="C20" s="121" t="inlineStr">
        <is>
          <t>ANALYST ESTIMATE</t>
        </is>
      </c>
    </row>
    <row r="21" ht="36" customHeight="1" s="115">
      <c r="A21" s="122" t="inlineStr">
        <is>
          <t>GREEN = verified against LH Annual Reports.  AMBER = approximate.  ORANGE = estimated — verify before GitHub publish.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B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14" min="1" max="1"/>
    <col width="65" customWidth="1" style="114" min="2" max="2"/>
  </cols>
  <sheetData>
    <row r="2" ht="30" customHeight="1" s="115">
      <c r="B2" s="123" t="inlineStr">
        <is>
          <t>LUFTHANSA GROUP</t>
        </is>
      </c>
    </row>
    <row r="3" ht="15" customHeight="1" s="115"/>
    <row r="4" ht="25.5" customHeight="1" s="115">
      <c r="B4" s="124" t="inlineStr">
        <is>
          <t>Financial Valuation &amp; Forecasting Model  |  v4.0  (July 2026)</t>
        </is>
      </c>
    </row>
    <row r="5" ht="15" customHeight="1" s="115"/>
    <row r="7" ht="18" customHeight="1" s="115">
      <c r="A7" s="125" t="inlineStr">
        <is>
          <t>Analyst</t>
        </is>
      </c>
      <c r="B7" s="126" t="inlineStr">
        <is>
          <t>Emmanuel Sarpong</t>
        </is>
      </c>
    </row>
    <row r="8" ht="18" customHeight="1" s="115">
      <c r="A8" s="125" t="inlineStr">
        <is>
          <t>Model Version</t>
        </is>
      </c>
      <c r="B8" s="126" t="inlineStr">
        <is>
          <t>v4.0 — corrections from primary sources (July 2026)</t>
        </is>
      </c>
    </row>
    <row r="9" ht="18" customHeight="1" s="115">
      <c r="A9" s="125" t="inlineStr">
        <is>
          <t>Currency</t>
        </is>
      </c>
      <c r="B9" s="126" t="inlineStr">
        <is>
          <t>EUR (millions)</t>
        </is>
      </c>
    </row>
    <row r="10" ht="18" customHeight="1" s="115">
      <c r="A10" s="125" t="inlineStr">
        <is>
          <t>Fiscal Year</t>
        </is>
      </c>
      <c r="B10" s="126" t="inlineStr">
        <is>
          <t>January – December</t>
        </is>
      </c>
    </row>
    <row r="11" ht="18" customHeight="1" s="115">
      <c r="A11" s="125" t="inlineStr">
        <is>
          <t>Data Sources</t>
        </is>
      </c>
      <c r="B11" s="126" t="inlineStr">
        <is>
          <t>Lufthansa Group Annual Reports 2020–2024; LH IR Website</t>
        </is>
      </c>
    </row>
    <row r="12" ht="18" customHeight="1" s="115">
      <c r="A12" s="125" t="inlineStr">
        <is>
          <t>Disclaimer</t>
        </is>
      </c>
      <c r="B12" s="126" t="inlineStr">
        <is>
          <t>Portfolio project. Not investment advice.</t>
        </is>
      </c>
    </row>
    <row r="14" ht="18" customHeight="1" s="115">
      <c r="B14" s="127" t="inlineStr">
        <is>
          <t>Navigation</t>
        </is>
      </c>
    </row>
    <row r="15" ht="15.75" customHeight="1" s="115">
      <c r="B15" s="128" t="inlineStr">
        <is>
          <t>→ Sources &amp; Verification</t>
        </is>
      </c>
    </row>
    <row r="16" ht="15.75" customHeight="1" s="115">
      <c r="B16" s="128" t="inlineStr">
        <is>
          <t>→ Assumptions + Rationale</t>
        </is>
      </c>
    </row>
    <row r="17" ht="15.75" customHeight="1" s="115">
      <c r="B17" s="128" t="inlineStr">
        <is>
          <t>→ Income Statement</t>
        </is>
      </c>
    </row>
    <row r="18" ht="15.75" customHeight="1" s="115">
      <c r="B18" s="128" t="inlineStr">
        <is>
          <t>→ Balance Sheet</t>
        </is>
      </c>
    </row>
    <row r="19" ht="15.75" customHeight="1" s="115">
      <c r="B19" s="128" t="inlineStr">
        <is>
          <t>→ Cash Flow</t>
        </is>
      </c>
    </row>
    <row r="20" ht="15.75" customHeight="1" s="115">
      <c r="B20" s="128" t="inlineStr">
        <is>
          <t>→ DCF Valuation</t>
        </is>
      </c>
    </row>
    <row r="21" ht="15.75" customHeight="1" s="115">
      <c r="B21" s="128" t="inlineStr">
        <is>
          <t>→ Comparables</t>
        </is>
      </c>
    </row>
    <row r="22" ht="15.75" customHeight="1" s="115">
      <c r="B22" s="128" t="inlineStr">
        <is>
          <t>→ Sensitivity</t>
        </is>
      </c>
    </row>
    <row r="23" ht="15.75" customHeight="1" s="115">
      <c r="B23" s="128" t="inlineStr">
        <is>
          <t>→ Dashboard</t>
        </is>
      </c>
    </row>
    <row r="25" ht="45.75" customHeight="1" s="115">
      <c r="B25" s="122" t="inlineStr">
        <is>
          <t>v4 changes: 2022 Revenue €32,770M now VERIFIED (LH press release). 2022 EBIT corrected 1,419→1,231 (Reported EBIT). 2021 Total Assets corrected 41,000→42,538. 2022 Equity corrected 5,600→8,500 (OCI pension remeasurement). D&amp;A 2022 corrected 2,142→2,199.</t>
        </is>
      </c>
    </row>
  </sheetData>
  <mergeCells count="2">
    <mergeCell ref="B2:B3"/>
    <mergeCell ref="B4:B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14" min="1" max="1"/>
    <col width="10" customWidth="1" style="114" min="2" max="12"/>
    <col width="60" customWidth="1" style="114" min="13" max="13"/>
  </cols>
  <sheetData>
    <row r="1" ht="25.5" customHeight="1" s="115">
      <c r="A1" s="124" t="inlineStr">
        <is>
          <t>ASSUMPTIONS  —  Blue = inputs  |  Orange = estimates  |  Yellow = key outputs</t>
        </is>
      </c>
    </row>
    <row r="2" ht="15" customHeight="1" s="115">
      <c r="A2" s="117" t="inlineStr">
        <is>
          <t>Metric</t>
        </is>
      </c>
      <c r="B2" s="117" t="inlineStr">
        <is>
          <t>2020A</t>
        </is>
      </c>
      <c r="C2" s="117" t="inlineStr">
        <is>
          <t>2021A</t>
        </is>
      </c>
      <c r="D2" s="117" t="inlineStr">
        <is>
          <t>2022A</t>
        </is>
      </c>
      <c r="E2" s="117" t="inlineStr">
        <is>
          <t>2023A</t>
        </is>
      </c>
      <c r="F2" s="117" t="inlineStr">
        <is>
          <t>2024A</t>
        </is>
      </c>
      <c r="G2" s="129" t="inlineStr">
        <is>
          <t>2025E</t>
        </is>
      </c>
      <c r="H2" s="129" t="inlineStr">
        <is>
          <t>2026E</t>
        </is>
      </c>
      <c r="I2" s="129" t="inlineStr">
        <is>
          <t>2027E</t>
        </is>
      </c>
      <c r="J2" s="129" t="inlineStr">
        <is>
          <t>2028E</t>
        </is>
      </c>
      <c r="K2" s="129" t="inlineStr">
        <is>
          <t>2029E</t>
        </is>
      </c>
      <c r="L2" s="129" t="inlineStr">
        <is>
          <t>2030E</t>
        </is>
      </c>
      <c r="M2" s="117" t="inlineStr">
        <is>
          <t>Rationale</t>
        </is>
      </c>
    </row>
    <row r="3" ht="15" customHeight="1" s="115">
      <c r="A3" s="130" t="inlineStr">
        <is>
          <t>REVENUE &amp; MARGINS</t>
        </is>
      </c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2" t="n"/>
      <c r="M3" s="133" t="inlineStr">
        <is>
          <t>Driver Rationale</t>
        </is>
      </c>
    </row>
    <row r="4" ht="49.5" customHeight="1" s="115">
      <c r="A4" s="118" t="inlineStr">
        <is>
          <t>Revenue Growth Rate</t>
        </is>
      </c>
      <c r="B4" s="134" t="inlineStr">
        <is>
          <t>N/A</t>
        </is>
      </c>
      <c r="C4" s="135" t="n">
        <v>0.237</v>
      </c>
      <c r="D4" s="135" t="n">
        <v>0.949</v>
      </c>
      <c r="E4" s="135" t="n">
        <v>0.082</v>
      </c>
      <c r="F4" s="135" t="n">
        <v>0.061</v>
      </c>
      <c r="G4" s="135" t="n">
        <v>0.05</v>
      </c>
      <c r="H4" s="135" t="n">
        <v>0.04</v>
      </c>
      <c r="I4" s="135" t="n">
        <v>0.04</v>
      </c>
      <c r="J4" s="135" t="n">
        <v>0.03</v>
      </c>
      <c r="K4" s="135" t="n">
        <v>0.03</v>
      </c>
      <c r="L4" s="135" t="n">
        <v>0.025</v>
      </c>
      <c r="M4" s="122" t="inlineStr">
        <is>
          <t>2025E +5%: above LH guidance base; ITA Airways full-year consolidation adds ~€1.5B. 2026-27 +4%: IATA Europe RPK growth forecast 3-5%. 2028-29 +3%: normalization. 2030 +2.5%: near terminal rate.</t>
        </is>
      </c>
    </row>
    <row r="5" ht="54.75" customHeight="1" s="115">
      <c r="A5" s="118" t="inlineStr">
        <is>
          <t>EBIT Margin</t>
        </is>
      </c>
      <c r="B5" s="135" t="n">
        <v>-0.403</v>
      </c>
      <c r="C5" s="135" t="n">
        <v>-0.099</v>
      </c>
      <c r="D5" s="135" t="n">
        <v>0.0376</v>
      </c>
      <c r="E5" s="135" t="n">
        <v>0.075</v>
      </c>
      <c r="F5" s="135" t="n">
        <v>0.046</v>
      </c>
      <c r="G5" s="135" t="n">
        <v>0.055</v>
      </c>
      <c r="H5" s="135" t="n">
        <v>0.06</v>
      </c>
      <c r="I5" s="135" t="n">
        <v>0.065</v>
      </c>
      <c r="J5" s="135" t="n">
        <v>0.068</v>
      </c>
      <c r="K5" s="135" t="n">
        <v>0.07000000000000001</v>
      </c>
      <c r="L5" s="135" t="n">
        <v>0.07000000000000001</v>
      </c>
      <c r="M5" s="122" t="inlineStr">
        <is>
          <t>2025E 5.5%: recovery from 4.6% in 2024 (strikes cost ~€450M). Mgmt targets 8%+ adj. EBIT margin by 2028 (reported margin lags ~2-3pp). 2030 at 7.0%: conservative vs target, reflecting execution risk.</t>
        </is>
      </c>
    </row>
    <row r="6" ht="21.75" customHeight="1" s="115">
      <c r="A6" s="118" t="inlineStr">
        <is>
          <t>D&amp;A  (€M)</t>
        </is>
      </c>
      <c r="B6" s="136" t="n">
        <v>2088</v>
      </c>
      <c r="C6" s="136" t="n">
        <v>2107</v>
      </c>
      <c r="D6" s="136" t="n">
        <v>2199</v>
      </c>
      <c r="E6" s="136" t="n">
        <v>2228</v>
      </c>
      <c r="F6" s="136" t="n">
        <v>2337</v>
      </c>
      <c r="G6" s="136" t="n">
        <v>2380</v>
      </c>
      <c r="H6" s="136" t="n">
        <v>2430</v>
      </c>
      <c r="I6" s="136" t="n">
        <v>2480</v>
      </c>
      <c r="J6" s="136" t="n">
        <v>2530</v>
      </c>
      <c r="K6" s="136" t="n">
        <v>2580</v>
      </c>
      <c r="L6" s="136" t="n">
        <v>2630</v>
      </c>
      <c r="M6" s="122" t="inlineStr">
        <is>
          <t>2022: €2,199M (LH 2023 AR comparative CF statement). 2021: €2,107M (secondary source — verify in LH-AR-2021-e.pdf CF statement). 2020: €2,088M (secondary source; note: 2020 included large aircraft impairments in the P&amp;L but D&amp;A line in CF is the recurring depreciation figure). Forecast grows ~€50M/yr tracking fleet CapEx cycle.</t>
        </is>
      </c>
    </row>
    <row r="7" ht="39.75" customHeight="1" s="115">
      <c r="A7" s="118" t="inlineStr">
        <is>
          <t>Capital Expenditure  (€M)</t>
        </is>
      </c>
      <c r="B7" s="134" t="inlineStr">
        <is>
          <t>N/A</t>
        </is>
      </c>
      <c r="C7" s="134" t="inlineStr">
        <is>
          <t>N/A</t>
        </is>
      </c>
      <c r="D7" s="134" t="inlineStr">
        <is>
          <t>N/A</t>
        </is>
      </c>
      <c r="E7" s="136" t="n">
        <v>3576</v>
      </c>
      <c r="F7" s="136" t="n">
        <v>3743</v>
      </c>
      <c r="G7" s="136" t="n">
        <v>3600</v>
      </c>
      <c r="H7" s="136" t="n">
        <v>3500</v>
      </c>
      <c r="I7" s="136" t="n">
        <v>3400</v>
      </c>
      <c r="J7" s="136" t="n">
        <v>3300</v>
      </c>
      <c r="K7" s="136" t="n">
        <v>3200</v>
      </c>
      <c r="L7" s="136" t="n">
        <v>3100</v>
      </c>
      <c r="M7" s="122" t="inlineStr">
        <is>
          <t>2023-24 verified from LH IR. Forecast declines €3,600M→€3,100M as near-term fleet renewal cycle peaks. LH guided €3-4B CapEx p.a. through 2028.</t>
        </is>
      </c>
    </row>
    <row r="8" ht="21.75" customHeight="1" s="115">
      <c r="A8" s="118" t="inlineStr">
        <is>
          <t>Interest Expense  (€M)</t>
        </is>
      </c>
      <c r="B8" s="134" t="inlineStr">
        <is>
          <t>see IS</t>
        </is>
      </c>
      <c r="C8" s="134" t="inlineStr">
        <is>
          <t>see IS</t>
        </is>
      </c>
      <c r="D8" s="134" t="inlineStr">
        <is>
          <t>see IS</t>
        </is>
      </c>
      <c r="E8" s="134" t="inlineStr">
        <is>
          <t>see IS</t>
        </is>
      </c>
      <c r="F8" s="134" t="inlineStr">
        <is>
          <t>see IS</t>
        </is>
      </c>
      <c r="G8" s="136" t="n">
        <v>300</v>
      </c>
      <c r="H8" s="136" t="n">
        <v>280</v>
      </c>
      <c r="I8" s="136" t="n">
        <v>260</v>
      </c>
      <c r="J8" s="136" t="n">
        <v>250</v>
      </c>
      <c r="K8" s="136" t="n">
        <v>240</v>
      </c>
      <c r="L8" s="136" t="n">
        <v>230</v>
      </c>
      <c r="M8" s="122" t="inlineStr">
        <is>
          <t>2024 interest ~€349M. Declining as net debt reduces. LH targets net debt/EBITDA &lt; 3.5x.</t>
        </is>
      </c>
    </row>
    <row r="9" ht="39.75" customHeight="1" s="115">
      <c r="A9" s="118" t="inlineStr">
        <is>
          <t>Tax Rate</t>
        </is>
      </c>
      <c r="B9" s="135" t="n">
        <v>0.25</v>
      </c>
      <c r="C9" s="135" t="n">
        <v>0.25</v>
      </c>
      <c r="D9" s="135" t="n">
        <v>0.25</v>
      </c>
      <c r="E9" s="135" t="n">
        <v>0.25</v>
      </c>
      <c r="F9" s="135" t="n">
        <v>0.25</v>
      </c>
      <c r="G9" s="135" t="n">
        <v>0.25</v>
      </c>
      <c r="H9" s="135" t="n">
        <v>0.25</v>
      </c>
      <c r="I9" s="135" t="n">
        <v>0.25</v>
      </c>
      <c r="J9" s="135" t="n">
        <v>0.25</v>
      </c>
      <c r="K9" s="135" t="n">
        <v>0.25</v>
      </c>
      <c r="L9" s="135" t="n">
        <v>0.25</v>
      </c>
      <c r="M9" s="122" t="inlineStr">
        <is>
          <t>German combined rate ~30%. Used 25% (conservative) reflecting deferred tax benefits and lower-rate foreign subsidiaries.</t>
        </is>
      </c>
    </row>
    <row r="11" ht="15" customHeight="1" s="115">
      <c r="A11" s="130" t="inlineStr">
        <is>
          <t>WACC BUILD-UP</t>
        </is>
      </c>
      <c r="B11" s="131" t="n"/>
      <c r="C11" s="131" t="n"/>
      <c r="D11" s="131" t="n"/>
      <c r="E11" s="131" t="n"/>
      <c r="F11" s="131" t="n"/>
      <c r="G11" s="131" t="n"/>
      <c r="H11" s="131" t="n"/>
      <c r="I11" s="131" t="n"/>
      <c r="J11" s="131" t="n"/>
      <c r="K11" s="131" t="n"/>
      <c r="L11" s="132" t="n"/>
    </row>
    <row r="12" ht="21.75" customHeight="1" s="115">
      <c r="A12" s="118" t="inlineStr">
        <is>
          <t>Risk-Free Rate  (Rf)</t>
        </is>
      </c>
      <c r="B12" s="137" t="n">
        <v>0.025</v>
      </c>
      <c r="M12" s="122" t="inlineStr">
        <is>
          <t>10Y German Bund yield avg 2024 ≈ 2.3–2.6%. Used 2.5%. Source: Deutsche Bundesbank.</t>
        </is>
      </c>
    </row>
    <row r="13" ht="21.75" customHeight="1" s="115">
      <c r="A13" s="118" t="inlineStr">
        <is>
          <t>Equity Risk Premium  (ERP)</t>
        </is>
      </c>
      <c r="B13" s="137" t="n">
        <v>0.055</v>
      </c>
      <c r="M13" s="122" t="inlineStr">
        <is>
          <t>Damodaran Western Europe ERP (Jan 2024): ~5.5%. Source: pages.stern.nyu.edu/~adamodar/</t>
        </is>
      </c>
    </row>
    <row r="14" ht="15" customHeight="1" s="115">
      <c r="A14" s="118" t="inlineStr">
        <is>
          <t>Beta  (Levered, 5Y monthly)</t>
        </is>
      </c>
      <c r="B14" s="138" t="n">
        <v>1.2</v>
      </c>
      <c r="M14" s="139" t="inlineStr">
        <is>
          <t>LHA.DE 5Y monthly beta vs STOXX 600 ≈ 1.1–1.3. Used 1.20 (midpoint).</t>
        </is>
      </c>
    </row>
    <row r="15" ht="15" customHeight="1" s="115">
      <c r="A15" s="118" t="inlineStr">
        <is>
          <t>Cost of Equity  [Rf + β × ERP]</t>
        </is>
      </c>
      <c r="B15" s="140">
        <f>B12+B14*B13</f>
        <v/>
      </c>
      <c r="M15" s="139" t="inlineStr">
        <is>
          <t>Ke = 2.5% + 1.20 × 5.5% = 9.1% (CAPM)</t>
        </is>
      </c>
    </row>
    <row r="16" ht="15" customHeight="1" s="115">
      <c r="A16" s="118" t="inlineStr">
        <is>
          <t>Pre-Tax Cost of Debt  (Kd)</t>
        </is>
      </c>
      <c r="B16" s="137" t="n">
        <v>0.035</v>
      </c>
      <c r="M16" s="139" t="inlineStr">
        <is>
          <t>Based on LH bond yields 2024 (~3–4% coupon). Used 3.5%. LH rating: Baa3/BBB-.</t>
        </is>
      </c>
    </row>
    <row r="17" ht="15" customHeight="1" s="115">
      <c r="A17" s="118" t="inlineStr">
        <is>
          <t>Tax Rate  (for Kd shield)</t>
        </is>
      </c>
      <c r="B17" s="135" t="n">
        <v>0.25</v>
      </c>
    </row>
    <row r="18" ht="15" customHeight="1" s="115">
      <c r="A18" s="118" t="inlineStr">
        <is>
          <t>After-Tax Cost of Debt  [Kd × (1-t)]</t>
        </is>
      </c>
      <c r="B18" s="140">
        <f>B16*(1-B17)</f>
        <v/>
      </c>
      <c r="M18" s="139" t="inlineStr">
        <is>
          <t>Kd(AT) = 3.5% × 75% = 2.625%</t>
        </is>
      </c>
    </row>
    <row r="19" ht="15" customHeight="1" s="115">
      <c r="A19" s="118" t="inlineStr">
        <is>
          <t>Weight of Equity  (We)</t>
        </is>
      </c>
      <c r="B19" s="135" t="n">
        <v>0.7</v>
      </c>
    </row>
    <row r="20" ht="15" customHeight="1" s="115">
      <c r="A20" s="118" t="inlineStr">
        <is>
          <t>Weight of Debt  (Wd)</t>
        </is>
      </c>
      <c r="B20" s="135" t="n">
        <v>0.3</v>
      </c>
    </row>
    <row r="21" ht="21.75" customHeight="1" s="115">
      <c r="A21" s="118" t="inlineStr">
        <is>
          <t>WACC  [We × Ke + Wd × Kd(AT)]</t>
        </is>
      </c>
      <c r="B21" s="141">
        <f>B19*B15+B20*B18</f>
        <v/>
      </c>
      <c r="M21" s="122" t="inlineStr">
        <is>
          <t>WACC = 70% × 9.1% + 30% × 2.625% ≈ 7.16%. Peer airline range 7-10%. Lower end justified by LH's scale and IG rating.</t>
        </is>
      </c>
    </row>
    <row r="22" ht="32.25" customHeight="1" s="115">
      <c r="A22" s="118" t="inlineStr">
        <is>
          <t>Terminal Growth Rate  (g)</t>
        </is>
      </c>
      <c r="B22" s="142" t="n">
        <v>0.02</v>
      </c>
      <c r="M22" s="122" t="inlineStr">
        <is>
          <t>2.0%. EU long-run nominal GDP ≈ 2.5% (ECB). Used 2.0% — conservative for aviation's capital intensity. Must remain below WACC. Sensitivity table: 1.0–4.0%.</t>
        </is>
      </c>
    </row>
    <row r="24" ht="15" customHeight="1" s="115">
      <c r="A24" s="130" t="inlineStr">
        <is>
          <t>VALUATION BRIDGE INPUTS</t>
        </is>
      </c>
      <c r="B24" s="131" t="n"/>
      <c r="C24" s="131" t="n"/>
      <c r="D24" s="131" t="n"/>
      <c r="E24" s="131" t="n"/>
      <c r="F24" s="131" t="n"/>
      <c r="G24" s="131" t="n"/>
      <c r="H24" s="131" t="n"/>
      <c r="I24" s="131" t="n"/>
      <c r="J24" s="131" t="n"/>
      <c r="K24" s="131" t="n"/>
      <c r="L24" s="132" t="n"/>
    </row>
    <row r="25" ht="15" customHeight="1" s="115">
      <c r="A25" s="118" t="inlineStr">
        <is>
          <t>Net Debt  (€M, 2024A — verified)</t>
        </is>
      </c>
      <c r="B25" s="136" t="n">
        <v>5744</v>
      </c>
      <c r="M25" s="143" t="inlineStr">
        <is>
          <t>LH IR: Net indebtedness 2024 = €5,744M. VERIFIED.</t>
        </is>
      </c>
    </row>
    <row r="26" ht="15" customHeight="1" s="115">
      <c r="A26" s="118" t="inlineStr">
        <is>
          <t>Shares Outstanding  (M)</t>
        </is>
      </c>
      <c r="B26" s="136" t="n">
        <v>2375</v>
      </c>
      <c r="M26" s="139" t="inlineStr">
        <is>
          <t>~2,375M shares (2024 year-end). Verify against LH AR 2024 issued capital note.</t>
        </is>
      </c>
    </row>
    <row r="27" ht="15" customHeight="1" s="115">
      <c r="A27" s="118" t="inlineStr">
        <is>
          <t>Current Share Price  (€) — for upside calc</t>
        </is>
      </c>
      <c r="B27" s="144" t="n">
        <v>6.18</v>
      </c>
      <c r="M27" s="143" t="inlineStr">
        <is>
          <t>LH IR: LHA.DE year-end 2024 = €6.18. VERIFIED.</t>
        </is>
      </c>
    </row>
    <row r="28" ht="54.75" customHeight="1" s="115">
      <c r="A28" s="118" t="inlineStr">
        <is>
          <t>Dividends Per Share  (€) — declared</t>
        </is>
      </c>
      <c r="B28" s="144" t="n">
        <v>0</v>
      </c>
      <c r="C28" s="144" t="n">
        <v>0</v>
      </c>
      <c r="D28" s="144" t="n">
        <v>0</v>
      </c>
      <c r="E28" s="144" t="n">
        <v>0.3</v>
      </c>
      <c r="F28" s="144" t="n">
        <v>0.3</v>
      </c>
      <c r="G28" s="144" t="n">
        <v>0.33</v>
      </c>
      <c r="H28" s="144" t="n">
        <v>0.36</v>
      </c>
      <c r="I28" s="144" t="n">
        <v>0.4</v>
      </c>
      <c r="J28" s="144" t="n">
        <v>0.44</v>
      </c>
      <c r="K28" s="144" t="n">
        <v>0.48</v>
      </c>
      <c r="L28" s="144" t="n">
        <v>0.5</v>
      </c>
      <c r="M28" s="122" t="inlineStr">
        <is>
          <t>LH resumed dividends for FY2023 (€0.30/share, paid at AGM May 2024). FY2024: approx €0.30 (guided). 2025E: LH guided ~€0.33. Forecast grows modestly to €0.50 by 2030. Total annual dividend = DPS × 2,375M shares ≈ €700-1,190M. Source: LH IR press releases.</t>
        </is>
      </c>
    </row>
  </sheetData>
  <mergeCells count="4">
    <mergeCell ref="A3:L3"/>
    <mergeCell ref="A11:L11"/>
    <mergeCell ref="A24:L24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14" min="1" max="1"/>
    <col width="11" customWidth="1" style="114" min="2" max="12"/>
  </cols>
  <sheetData>
    <row r="1" ht="30" customHeight="1" s="115">
      <c r="A1" s="145" t="inlineStr">
        <is>
          <t>INCOME STATEMENT  (€ millions)  |  v4: 2022 figures corrected from official LH press release (03-Mar-2023)</t>
        </is>
      </c>
    </row>
    <row r="2" ht="18" customHeight="1" s="115">
      <c r="A2" s="117" t="n"/>
      <c r="B2" s="117" t="inlineStr">
        <is>
          <t>2020A</t>
        </is>
      </c>
      <c r="C2" s="117" t="inlineStr">
        <is>
          <t>2021A</t>
        </is>
      </c>
      <c r="D2" s="117" t="inlineStr">
        <is>
          <t>2022A</t>
        </is>
      </c>
      <c r="E2" s="117" t="inlineStr">
        <is>
          <t>2023A</t>
        </is>
      </c>
      <c r="F2" s="117" t="inlineStr">
        <is>
          <t>2024A</t>
        </is>
      </c>
      <c r="G2" s="129" t="inlineStr">
        <is>
          <t>2025E</t>
        </is>
      </c>
      <c r="H2" s="129" t="inlineStr">
        <is>
          <t>2026E</t>
        </is>
      </c>
      <c r="I2" s="129" t="inlineStr">
        <is>
          <t>2027E</t>
        </is>
      </c>
      <c r="J2" s="129" t="inlineStr">
        <is>
          <t>2028E</t>
        </is>
      </c>
      <c r="K2" s="129" t="inlineStr">
        <is>
          <t>2029E</t>
        </is>
      </c>
      <c r="L2" s="129" t="inlineStr">
        <is>
          <t>2030E</t>
        </is>
      </c>
    </row>
    <row r="3" ht="15" customHeight="1" s="115">
      <c r="A3" s="118" t="inlineStr">
        <is>
          <t>Revenue</t>
        </is>
      </c>
      <c r="B3" s="136" t="n">
        <v>13589</v>
      </c>
      <c r="C3" s="136" t="n">
        <v>16811</v>
      </c>
      <c r="D3" s="136" t="n">
        <v>32770</v>
      </c>
      <c r="E3" s="136" t="n">
        <v>35442</v>
      </c>
      <c r="F3" s="136" t="n">
        <v>37581</v>
      </c>
      <c r="G3" s="146">
        <f>F3*(1+Assumptions!G4)</f>
        <v/>
      </c>
      <c r="H3" s="147">
        <f>G3*(1+Assumptions!H4)</f>
        <v/>
      </c>
      <c r="I3" s="147">
        <f>H3*(1+Assumptions!I4)</f>
        <v/>
      </c>
      <c r="J3" s="147">
        <f>I3*(1+Assumptions!J4)</f>
        <v/>
      </c>
      <c r="K3" s="147">
        <f>J3*(1+Assumptions!K4)</f>
        <v/>
      </c>
      <c r="L3" s="147">
        <f>K3*(1+Assumptions!L4)</f>
        <v/>
      </c>
    </row>
    <row r="4" ht="15" customHeight="1" s="115">
      <c r="A4" s="118" t="inlineStr">
        <is>
          <t>EBIT</t>
        </is>
      </c>
      <c r="B4" s="136" t="n">
        <v>-5479</v>
      </c>
      <c r="C4" s="136" t="n">
        <v>-1672</v>
      </c>
      <c r="D4" s="136" t="n">
        <v>1231</v>
      </c>
      <c r="E4" s="136" t="n">
        <v>2669</v>
      </c>
      <c r="F4" s="136" t="n">
        <v>1731</v>
      </c>
      <c r="G4" s="147">
        <f>G3*Assumptions!G5</f>
        <v/>
      </c>
      <c r="H4" s="147">
        <f>H3*Assumptions!H5</f>
        <v/>
      </c>
      <c r="I4" s="147">
        <f>I3*Assumptions!I5</f>
        <v/>
      </c>
      <c r="J4" s="147">
        <f>J3*Assumptions!J5</f>
        <v/>
      </c>
      <c r="K4" s="147">
        <f>K3*Assumptions!K5</f>
        <v/>
      </c>
      <c r="L4" s="147">
        <f>L3*Assumptions!L5</f>
        <v/>
      </c>
    </row>
    <row r="5" ht="15" customHeight="1" s="115">
      <c r="A5" s="118" t="inlineStr">
        <is>
          <t>Depreciation &amp; Amortisation  (D&amp;A)</t>
        </is>
      </c>
      <c r="B5" s="148">
        <f>Assumptions!B6</f>
        <v/>
      </c>
      <c r="C5" s="148">
        <f>Assumptions!C6</f>
        <v/>
      </c>
      <c r="D5" s="148">
        <f>Assumptions!D6</f>
        <v/>
      </c>
      <c r="E5" s="148">
        <f>Assumptions!E6</f>
        <v/>
      </c>
      <c r="F5" s="148">
        <f>Assumptions!F6</f>
        <v/>
      </c>
      <c r="G5" s="148">
        <f>Assumptions!G6</f>
        <v/>
      </c>
      <c r="H5" s="148">
        <f>Assumptions!H6</f>
        <v/>
      </c>
      <c r="I5" s="148">
        <f>Assumptions!I6</f>
        <v/>
      </c>
      <c r="J5" s="148">
        <f>Assumptions!J6</f>
        <v/>
      </c>
      <c r="K5" s="148">
        <f>Assumptions!K6</f>
        <v/>
      </c>
      <c r="L5" s="148">
        <f>Assumptions!L6</f>
        <v/>
      </c>
    </row>
    <row r="6" ht="15" customHeight="1" s="115">
      <c r="A6" s="118" t="inlineStr">
        <is>
          <t>EBITDA</t>
        </is>
      </c>
      <c r="B6" s="149">
        <f>B4+B5</f>
        <v/>
      </c>
      <c r="C6" s="149">
        <f>C4+C5</f>
        <v/>
      </c>
      <c r="D6" s="149">
        <f>D4+D5</f>
        <v/>
      </c>
      <c r="E6" s="149">
        <f>E4+E5</f>
        <v/>
      </c>
      <c r="F6" s="149">
        <f>F4+F5</f>
        <v/>
      </c>
      <c r="G6" s="149">
        <f>G4+G5</f>
        <v/>
      </c>
      <c r="H6" s="149">
        <f>H4+H5</f>
        <v/>
      </c>
      <c r="I6" s="149">
        <f>I4+I5</f>
        <v/>
      </c>
      <c r="J6" s="149">
        <f>J4+J5</f>
        <v/>
      </c>
      <c r="K6" s="149">
        <f>K4+K5</f>
        <v/>
      </c>
      <c r="L6" s="149">
        <f>L4+L5</f>
        <v/>
      </c>
    </row>
    <row r="7" ht="15" customHeight="1" s="115">
      <c r="A7" s="118" t="inlineStr">
        <is>
          <t>Interest Expense</t>
        </is>
      </c>
      <c r="B7" s="136" t="n">
        <v>557</v>
      </c>
      <c r="C7" s="136" t="n">
        <v>440</v>
      </c>
      <c r="D7" s="136" t="n">
        <v>396</v>
      </c>
      <c r="E7" s="136" t="n">
        <v>380</v>
      </c>
      <c r="F7" s="136" t="n">
        <v>349</v>
      </c>
      <c r="G7" s="148">
        <f>Assumptions!G8</f>
        <v/>
      </c>
      <c r="H7" s="148">
        <f>Assumptions!H8</f>
        <v/>
      </c>
      <c r="I7" s="148">
        <f>Assumptions!I8</f>
        <v/>
      </c>
      <c r="J7" s="148">
        <f>Assumptions!J8</f>
        <v/>
      </c>
      <c r="K7" s="148">
        <f>Assumptions!K8</f>
        <v/>
      </c>
      <c r="L7" s="148">
        <f>Assumptions!L8</f>
        <v/>
      </c>
    </row>
    <row r="8" ht="15" customHeight="1" s="115">
      <c r="A8" s="118" t="inlineStr">
        <is>
          <t>EBT  (Earnings Before Tax)</t>
        </is>
      </c>
      <c r="B8" s="147">
        <f>B4-B7</f>
        <v/>
      </c>
      <c r="C8" s="147">
        <f>C4-C7</f>
        <v/>
      </c>
      <c r="D8" s="147">
        <f>D4-D7</f>
        <v/>
      </c>
      <c r="E8" s="147">
        <f>E4-E7</f>
        <v/>
      </c>
      <c r="F8" s="147">
        <f>F4-F7</f>
        <v/>
      </c>
      <c r="G8" s="147">
        <f>G4-G7</f>
        <v/>
      </c>
      <c r="H8" s="147">
        <f>H4-H7</f>
        <v/>
      </c>
      <c r="I8" s="147">
        <f>I4-I7</f>
        <v/>
      </c>
      <c r="J8" s="147">
        <f>J4-J7</f>
        <v/>
      </c>
      <c r="K8" s="147">
        <f>K4-K7</f>
        <v/>
      </c>
      <c r="L8" s="147">
        <f>L4-L7</f>
        <v/>
      </c>
    </row>
    <row r="9" ht="15" customHeight="1" s="115">
      <c r="A9" s="118" t="inlineStr">
        <is>
          <t>Tax Expense / (Benefit)</t>
        </is>
      </c>
      <c r="B9" s="147">
        <f>MAX(B8*Assumptions!B9,0)</f>
        <v/>
      </c>
      <c r="C9" s="147">
        <f>MAX(C8*Assumptions!C9,0)</f>
        <v/>
      </c>
      <c r="D9" s="147">
        <f>MAX(D8*Assumptions!D9,0)</f>
        <v/>
      </c>
      <c r="E9" s="147">
        <f>MAX(E8*Assumptions!E9,0)</f>
        <v/>
      </c>
      <c r="F9" s="147">
        <f>MAX(F8*Assumptions!F9,0)</f>
        <v/>
      </c>
      <c r="G9" s="147">
        <f>MAX(G8*Assumptions!G9,0)</f>
        <v/>
      </c>
      <c r="H9" s="147">
        <f>MAX(H8*Assumptions!H9,0)</f>
        <v/>
      </c>
      <c r="I9" s="147">
        <f>MAX(I8*Assumptions!I9,0)</f>
        <v/>
      </c>
      <c r="J9" s="147">
        <f>MAX(J8*Assumptions!J9,0)</f>
        <v/>
      </c>
      <c r="K9" s="147">
        <f>MAX(K8*Assumptions!K9,0)</f>
        <v/>
      </c>
      <c r="L9" s="147">
        <f>MAX(L8*Assumptions!L9,0)</f>
        <v/>
      </c>
    </row>
    <row r="10" ht="15" customHeight="1" s="115">
      <c r="A10" s="118" t="inlineStr">
        <is>
          <t>Net Income</t>
        </is>
      </c>
      <c r="B10" s="150" t="n">
        <v>-6724</v>
      </c>
      <c r="C10" s="150" t="n">
        <v>-1993</v>
      </c>
      <c r="D10" s="150" t="n">
        <v>791</v>
      </c>
      <c r="E10" s="150" t="n">
        <v>1666</v>
      </c>
      <c r="F10" s="150" t="n">
        <v>1380</v>
      </c>
      <c r="G10" s="149">
        <f>G8-G9</f>
        <v/>
      </c>
      <c r="H10" s="149">
        <f>H8-H9</f>
        <v/>
      </c>
      <c r="I10" s="149">
        <f>I8-I9</f>
        <v/>
      </c>
      <c r="J10" s="149">
        <f>J8-J9</f>
        <v/>
      </c>
      <c r="K10" s="149">
        <f>K8-K9</f>
        <v/>
      </c>
      <c r="L10" s="149">
        <f>L8-L9</f>
        <v/>
      </c>
    </row>
    <row r="12" ht="15" customHeight="1" s="115">
      <c r="A12" s="130" t="inlineStr">
        <is>
          <t>MARGINS</t>
        </is>
      </c>
      <c r="B12" s="131" t="n"/>
      <c r="C12" s="131" t="n"/>
      <c r="D12" s="131" t="n"/>
      <c r="E12" s="131" t="n"/>
      <c r="F12" s="131" t="n"/>
      <c r="G12" s="131" t="n"/>
      <c r="H12" s="131" t="n"/>
      <c r="I12" s="131" t="n"/>
      <c r="J12" s="131" t="n"/>
      <c r="K12" s="131" t="n"/>
      <c r="L12" s="132" t="n"/>
    </row>
    <row r="13" ht="15" customHeight="1" s="115">
      <c r="A13" s="118" t="inlineStr">
        <is>
          <t>EBIT Margin</t>
        </is>
      </c>
      <c r="B13" s="151">
        <f>IFERROR(B4/B3,"-")</f>
        <v/>
      </c>
      <c r="C13" s="151">
        <f>IFERROR(C4/C3,"-")</f>
        <v/>
      </c>
      <c r="D13" s="151">
        <f>IFERROR(D4/D3,"-")</f>
        <v/>
      </c>
      <c r="E13" s="151">
        <f>IFERROR(E4/E3,"-")</f>
        <v/>
      </c>
      <c r="F13" s="151">
        <f>IFERROR(F4/F3,"-")</f>
        <v/>
      </c>
      <c r="G13" s="151">
        <f>IFERROR(G4/G3,"-")</f>
        <v/>
      </c>
      <c r="H13" s="151">
        <f>IFERROR(H4/H3,"-")</f>
        <v/>
      </c>
      <c r="I13" s="151">
        <f>IFERROR(I4/I3,"-")</f>
        <v/>
      </c>
      <c r="J13" s="151">
        <f>IFERROR(J4/J3,"-")</f>
        <v/>
      </c>
      <c r="K13" s="151">
        <f>IFERROR(K4/K3,"-")</f>
        <v/>
      </c>
      <c r="L13" s="151">
        <f>IFERROR(L4/L3,"-")</f>
        <v/>
      </c>
    </row>
    <row r="14" ht="15" customHeight="1" s="115">
      <c r="A14" s="118" t="inlineStr">
        <is>
          <t>EBITDA Margin</t>
        </is>
      </c>
      <c r="B14" s="151">
        <f>IFERROR(B6/B3,"-")</f>
        <v/>
      </c>
      <c r="C14" s="151">
        <f>IFERROR(C6/C3,"-")</f>
        <v/>
      </c>
      <c r="D14" s="151">
        <f>IFERROR(D6/D3,"-")</f>
        <v/>
      </c>
      <c r="E14" s="151">
        <f>IFERROR(E6/E3,"-")</f>
        <v/>
      </c>
      <c r="F14" s="151">
        <f>IFERROR(F6/F3,"-")</f>
        <v/>
      </c>
      <c r="G14" s="151">
        <f>IFERROR(G6/G3,"-")</f>
        <v/>
      </c>
      <c r="H14" s="151">
        <f>IFERROR(H6/H3,"-")</f>
        <v/>
      </c>
      <c r="I14" s="151">
        <f>IFERROR(I6/I3,"-")</f>
        <v/>
      </c>
      <c r="J14" s="151">
        <f>IFERROR(J6/J3,"-")</f>
        <v/>
      </c>
      <c r="K14" s="151">
        <f>IFERROR(K6/K3,"-")</f>
        <v/>
      </c>
      <c r="L14" s="151">
        <f>IFERROR(L6/L3,"-")</f>
        <v/>
      </c>
    </row>
    <row r="15" ht="15" customHeight="1" s="115">
      <c r="A15" s="118" t="inlineStr">
        <is>
          <t>Net Margin</t>
        </is>
      </c>
      <c r="B15" s="151">
        <f>IFERROR(B10/B3,"-")</f>
        <v/>
      </c>
      <c r="C15" s="151">
        <f>IFERROR(C10/C3,"-")</f>
        <v/>
      </c>
      <c r="D15" s="151">
        <f>IFERROR(D10/D3,"-")</f>
        <v/>
      </c>
      <c r="E15" s="151">
        <f>IFERROR(E10/E3,"-")</f>
        <v/>
      </c>
      <c r="F15" s="151">
        <f>IFERROR(F10/F3,"-")</f>
        <v/>
      </c>
      <c r="G15" s="151">
        <f>IFERROR(G10/G3,"-")</f>
        <v/>
      </c>
      <c r="H15" s="151">
        <f>IFERROR(H10/H3,"-")</f>
        <v/>
      </c>
      <c r="I15" s="151">
        <f>IFERROR(I10/I3,"-")</f>
        <v/>
      </c>
      <c r="J15" s="151">
        <f>IFERROR(J10/J3,"-")</f>
        <v/>
      </c>
      <c r="K15" s="151">
        <f>IFERROR(K10/K3,"-")</f>
        <v/>
      </c>
      <c r="L15" s="151">
        <f>IFERROR(L10/L3,"-")</f>
        <v/>
      </c>
    </row>
    <row r="17" ht="36" customHeight="1" s="115">
      <c r="A17" s="122" t="inlineStr">
        <is>
          <t>VERIFIED: 2024 Revenue €37,581M; 2023 €35,442M; 2024 EBIT €1,731M; 2024 Net Income €1,380M. Source: LH IR.
VERIFIED: 2022 Revenue €32,770M (EXACT — LH 2022 FY press release 03-Mar-2023). VERIFIED: 2022 EBIT €1,231M (Reported EBIT — same press release; Adjusted EBIT = €1,509M).
NOTE on 2021 EBIT (−€1,672M): secondary source figure approximating Adjusted EBIT (press release shows Reported EBIT 2021 = −€2,316M, Adjusted EBIT = −€1,666M). Definitional note added to Sources sheet.</t>
        </is>
      </c>
    </row>
  </sheetData>
  <mergeCells count="2">
    <mergeCell ref="A1:L1"/>
    <mergeCell ref="A12:L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14" min="1" max="1"/>
    <col width="11" customWidth="1" style="114" min="2" max="12"/>
  </cols>
  <sheetData>
    <row r="1" ht="30" customHeight="1" s="115">
      <c r="A1" s="152" t="inlineStr">
        <is>
          <t>BALANCE SHEET  (€ millions)  |  v3: Current liabilities independently modelled — balance check is genuine  |  Orange = estimated</t>
        </is>
      </c>
    </row>
    <row r="2" ht="18" customHeight="1" s="115">
      <c r="A2" s="117" t="n"/>
      <c r="B2" s="117" t="inlineStr">
        <is>
          <t>2020A</t>
        </is>
      </c>
      <c r="C2" s="117" t="inlineStr">
        <is>
          <t>2021A</t>
        </is>
      </c>
      <c r="D2" s="117" t="inlineStr">
        <is>
          <t>2022A</t>
        </is>
      </c>
      <c r="E2" s="117" t="inlineStr">
        <is>
          <t>2023A</t>
        </is>
      </c>
      <c r="F2" s="117" t="inlineStr">
        <is>
          <t>2024A</t>
        </is>
      </c>
      <c r="G2" s="129" t="inlineStr">
        <is>
          <t>2025E</t>
        </is>
      </c>
      <c r="H2" s="129" t="inlineStr">
        <is>
          <t>2026E</t>
        </is>
      </c>
      <c r="I2" s="129" t="inlineStr">
        <is>
          <t>2027E</t>
        </is>
      </c>
      <c r="J2" s="129" t="inlineStr">
        <is>
          <t>2028E</t>
        </is>
      </c>
      <c r="K2" s="129" t="inlineStr">
        <is>
          <t>2029E</t>
        </is>
      </c>
      <c r="L2" s="129" t="inlineStr">
        <is>
          <t>2030E</t>
        </is>
      </c>
    </row>
    <row r="3" ht="15" customHeight="1" s="115">
      <c r="A3" s="130" t="inlineStr">
        <is>
          <t>NON-CURRENT ASSETS</t>
        </is>
      </c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2" t="n"/>
    </row>
    <row r="4" ht="15" customHeight="1" s="115">
      <c r="A4" s="118" t="inlineStr">
        <is>
          <t xml:space="preserve">  Aircraft &amp; Reserve Engines</t>
        </is>
      </c>
      <c r="B4" s="153" t="n">
        <v>0</v>
      </c>
      <c r="C4" s="153" t="n">
        <v>0</v>
      </c>
      <c r="D4" s="153" t="n">
        <v>0</v>
      </c>
      <c r="E4" s="136" t="n">
        <v>17464</v>
      </c>
      <c r="F4" s="136" t="n">
        <v>18828</v>
      </c>
      <c r="G4" s="147">
        <f>F4*(1+Assumptions!G4*0.6)</f>
        <v/>
      </c>
      <c r="H4" s="147">
        <f>G4*(1+Assumptions!H4*0.6)</f>
        <v/>
      </c>
      <c r="I4" s="147">
        <f>H4*(1+Assumptions!I4*0.6)</f>
        <v/>
      </c>
      <c r="J4" s="147">
        <f>I4*(1+Assumptions!J4*0.6)</f>
        <v/>
      </c>
      <c r="K4" s="147">
        <f>J4*(1+Assumptions!K4*0.6)</f>
        <v/>
      </c>
      <c r="L4" s="147">
        <f>K4*(1+Assumptions!L4*0.6)</f>
        <v/>
      </c>
    </row>
    <row r="5" ht="15" customHeight="1" s="115">
      <c r="A5" s="118" t="inlineStr">
        <is>
          <t xml:space="preserve">  Other PP&amp;E, Intangibles &amp; Right-of-Use</t>
        </is>
      </c>
      <c r="B5" s="153" t="n">
        <v>0</v>
      </c>
      <c r="C5" s="153" t="n">
        <v>0</v>
      </c>
      <c r="D5" s="153" t="n">
        <v>0</v>
      </c>
      <c r="E5" s="153" t="n">
        <v>11884</v>
      </c>
      <c r="F5" s="153" t="n">
        <v>11908</v>
      </c>
      <c r="G5" s="147">
        <f>F5*1.01</f>
        <v/>
      </c>
      <c r="H5" s="147">
        <f>G5*1.01</f>
        <v/>
      </c>
      <c r="I5" s="147">
        <f>H5*1.01</f>
        <v/>
      </c>
      <c r="J5" s="147">
        <f>I5*1.01</f>
        <v/>
      </c>
      <c r="K5" s="147">
        <f>J5*1.01</f>
        <v/>
      </c>
      <c r="L5" s="147">
        <f>K5*1.01</f>
        <v/>
      </c>
    </row>
    <row r="6" ht="15" customHeight="1" s="115">
      <c r="A6" s="118" t="inlineStr">
        <is>
          <t>Total Non-Current Assets</t>
        </is>
      </c>
      <c r="B6" s="154" t="n">
        <v>26500</v>
      </c>
      <c r="C6" s="154" t="n">
        <v>27500</v>
      </c>
      <c r="D6" s="154" t="n">
        <v>28000</v>
      </c>
      <c r="E6" s="150" t="n">
        <v>29348</v>
      </c>
      <c r="F6" s="136" t="n">
        <v>30736</v>
      </c>
      <c r="G6" s="149">
        <f>SUM(G4:G5)</f>
        <v/>
      </c>
      <c r="H6" s="149">
        <f>SUM(H4:H5)</f>
        <v/>
      </c>
      <c r="I6" s="149">
        <f>SUM(I4:I5)</f>
        <v/>
      </c>
      <c r="J6" s="149">
        <f>SUM(J4:J5)</f>
        <v/>
      </c>
      <c r="K6" s="149">
        <f>SUM(K4:K5)</f>
        <v/>
      </c>
      <c r="L6" s="149">
        <f>SUM(L4:L5)</f>
        <v/>
      </c>
    </row>
    <row r="7" ht="15" customHeight="1" s="115">
      <c r="A7" s="130" t="inlineStr">
        <is>
          <t>CURRENT ASSETS</t>
        </is>
      </c>
      <c r="B7" s="131" t="n"/>
      <c r="C7" s="131" t="n"/>
      <c r="D7" s="131" t="n"/>
      <c r="E7" s="131" t="n"/>
      <c r="F7" s="131" t="n"/>
      <c r="G7" s="131" t="n"/>
      <c r="H7" s="131" t="n"/>
      <c r="I7" s="131" t="n"/>
      <c r="J7" s="131" t="n"/>
      <c r="K7" s="131" t="n"/>
      <c r="L7" s="132" t="n"/>
    </row>
    <row r="8" ht="15" customHeight="1" s="115">
      <c r="A8" s="118" t="inlineStr">
        <is>
          <t xml:space="preserve">  Cash &amp; Cash Equivalents  [→ CF waterfall row 28]</t>
        </is>
      </c>
      <c r="B8" s="153" t="n">
        <v>2500</v>
      </c>
      <c r="C8" s="153" t="n">
        <v>2200</v>
      </c>
      <c r="D8" s="153" t="n">
        <v>2800</v>
      </c>
      <c r="E8" s="153" t="n">
        <v>3900</v>
      </c>
      <c r="F8" s="153" t="n">
        <v>3500</v>
      </c>
      <c r="G8" s="148">
        <f>'Cash Flow'!G28</f>
        <v/>
      </c>
      <c r="H8" s="148">
        <f>'Cash Flow'!H28</f>
        <v/>
      </c>
      <c r="I8" s="148">
        <f>'Cash Flow'!I28</f>
        <v/>
      </c>
      <c r="J8" s="148">
        <f>'Cash Flow'!J28</f>
        <v/>
      </c>
      <c r="K8" s="148">
        <f>'Cash Flow'!K28</f>
        <v/>
      </c>
      <c r="L8" s="148">
        <f>'Cash Flow'!L28</f>
        <v/>
      </c>
    </row>
    <row r="9" ht="15" customHeight="1" s="115">
      <c r="A9" s="118" t="inlineStr">
        <is>
          <t xml:space="preserve">  Trade &amp; Other Receivables</t>
        </is>
      </c>
      <c r="B9" s="153" t="n">
        <v>2500</v>
      </c>
      <c r="C9" s="153" t="n">
        <v>2800</v>
      </c>
      <c r="D9" s="153" t="n">
        <v>3100</v>
      </c>
      <c r="E9" s="153" t="n">
        <v>3500</v>
      </c>
      <c r="F9" s="153" t="n">
        <v>3600</v>
      </c>
      <c r="G9" s="147">
        <f>'Income Statement'!G3*0.035</f>
        <v/>
      </c>
      <c r="H9" s="147">
        <f>'Income Statement'!H3*0.035</f>
        <v/>
      </c>
      <c r="I9" s="147">
        <f>'Income Statement'!I3*0.035</f>
        <v/>
      </c>
      <c r="J9" s="147">
        <f>'Income Statement'!J3*0.035</f>
        <v/>
      </c>
      <c r="K9" s="147">
        <f>'Income Statement'!K3*0.035</f>
        <v/>
      </c>
      <c r="L9" s="147">
        <f>'Income Statement'!L3*0.035</f>
        <v/>
      </c>
    </row>
    <row r="10" ht="15" customHeight="1" s="115">
      <c r="A10" s="118" t="inlineStr">
        <is>
          <t xml:space="preserve">  Other Current Assets</t>
        </is>
      </c>
      <c r="B10" s="153" t="n">
        <v>5000</v>
      </c>
      <c r="C10" s="153" t="n">
        <v>5000</v>
      </c>
      <c r="D10" s="153" t="n">
        <v>5000</v>
      </c>
      <c r="E10" s="153" t="n">
        <v>5000</v>
      </c>
      <c r="F10" s="153" t="n">
        <v>5000</v>
      </c>
      <c r="G10" s="147">
        <f>5000</f>
        <v/>
      </c>
      <c r="H10" s="147">
        <f>5000</f>
        <v/>
      </c>
      <c r="I10" s="147">
        <f>5000</f>
        <v/>
      </c>
      <c r="J10" s="147">
        <f>5000</f>
        <v/>
      </c>
      <c r="K10" s="147">
        <f>5000</f>
        <v/>
      </c>
      <c r="L10" s="147">
        <f>5000</f>
        <v/>
      </c>
    </row>
    <row r="11" ht="15" customHeight="1" s="115">
      <c r="A11" s="118" t="inlineStr">
        <is>
          <t>Total Current Assets</t>
        </is>
      </c>
      <c r="B11" s="154" t="n">
        <v>11500</v>
      </c>
      <c r="C11" s="154" t="n">
        <v>13500</v>
      </c>
      <c r="D11" s="154" t="n">
        <v>15335</v>
      </c>
      <c r="E11" s="154" t="n">
        <v>15973</v>
      </c>
      <c r="F11" s="153" t="n">
        <v>16316</v>
      </c>
      <c r="G11" s="149">
        <f>SUM(G8:G10)</f>
        <v/>
      </c>
      <c r="H11" s="149">
        <f>SUM(H8:H10)</f>
        <v/>
      </c>
      <c r="I11" s="149">
        <f>SUM(I8:I10)</f>
        <v/>
      </c>
      <c r="J11" s="149">
        <f>SUM(J8:J10)</f>
        <v/>
      </c>
      <c r="K11" s="149">
        <f>SUM(K8:K10)</f>
        <v/>
      </c>
      <c r="L11" s="149">
        <f>SUM(L8:L10)</f>
        <v/>
      </c>
    </row>
    <row r="12" ht="15" customHeight="1" s="115">
      <c r="A12" s="118" t="inlineStr">
        <is>
          <t>TOTAL ASSETS</t>
        </is>
      </c>
      <c r="B12" s="155" t="n">
        <v>38000</v>
      </c>
      <c r="C12" s="156" t="n">
        <v>42538</v>
      </c>
      <c r="D12" s="156" t="n">
        <v>43335</v>
      </c>
      <c r="E12" s="156" t="n">
        <v>45321</v>
      </c>
      <c r="F12" s="156" t="n">
        <v>47052</v>
      </c>
      <c r="G12" s="157">
        <f>G6+G11</f>
        <v/>
      </c>
      <c r="H12" s="157">
        <f>H6+H11</f>
        <v/>
      </c>
      <c r="I12" s="157">
        <f>I6+I11</f>
        <v/>
      </c>
      <c r="J12" s="157">
        <f>J6+J11</f>
        <v/>
      </c>
      <c r="K12" s="157">
        <f>K6+K11</f>
        <v/>
      </c>
      <c r="L12" s="157">
        <f>L6+L11</f>
        <v/>
      </c>
    </row>
    <row r="14" ht="15" customHeight="1" s="115">
      <c r="A14" s="130" t="inlineStr">
        <is>
          <t>EQUITY</t>
        </is>
      </c>
      <c r="B14" s="131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2" t="n"/>
    </row>
    <row r="15" ht="15" customHeight="1" s="115">
      <c r="A15" s="118" t="inlineStr">
        <is>
          <t>Shareholders' Equity  [Prior + Net Income − Dividends]</t>
        </is>
      </c>
      <c r="B15" s="153" t="n">
        <v>-2000</v>
      </c>
      <c r="C15" s="158" t="n">
        <v>4490</v>
      </c>
      <c r="D15" s="153" t="n">
        <v>8500</v>
      </c>
      <c r="E15" s="136" t="n">
        <v>9709</v>
      </c>
      <c r="F15" s="136" t="n">
        <v>11594</v>
      </c>
      <c r="G15" s="147">
        <f>F15+'Income Statement'!G10-(Assumptions!G28*Assumptions!B26)</f>
        <v/>
      </c>
      <c r="H15" s="147">
        <f>G15+'Income Statement'!H10-(Assumptions!H28*Assumptions!B26)</f>
        <v/>
      </c>
      <c r="I15" s="147">
        <f>H15+'Income Statement'!I10-(Assumptions!I28*Assumptions!B26)</f>
        <v/>
      </c>
      <c r="J15" s="147">
        <f>I15+'Income Statement'!J10-(Assumptions!J28*Assumptions!B26)</f>
        <v/>
      </c>
      <c r="K15" s="147">
        <f>J15+'Income Statement'!K10-(Assumptions!K28*Assumptions!B26)</f>
        <v/>
      </c>
      <c r="L15" s="147">
        <f>K15+'Income Statement'!L10-(Assumptions!L28*Assumptions!B26)</f>
        <v/>
      </c>
    </row>
    <row r="16" ht="15" customHeight="1" s="115">
      <c r="A16" s="130" t="inlineStr">
        <is>
          <t>NON-CURRENT LIABILITIES</t>
        </is>
      </c>
      <c r="B16" s="131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2" t="n"/>
    </row>
    <row r="17" ht="15" customHeight="1" s="115">
      <c r="A17" s="118" t="inlineStr">
        <is>
          <t xml:space="preserve">  Long-Term Borrowings</t>
        </is>
      </c>
      <c r="B17" s="153" t="n">
        <v>18000</v>
      </c>
      <c r="C17" s="153" t="n">
        <v>18000</v>
      </c>
      <c r="D17" s="153" t="n">
        <v>16000</v>
      </c>
      <c r="E17" s="136" t="n">
        <v>13000</v>
      </c>
      <c r="F17" s="136" t="n">
        <v>11413</v>
      </c>
      <c r="G17" s="147">
        <f>MAX(F17-'Cash Flow'!G13*0.4,6000)</f>
        <v/>
      </c>
      <c r="H17" s="147">
        <f>MAX(G17-'Cash Flow'!H13*0.4,6000)</f>
        <v/>
      </c>
      <c r="I17" s="147">
        <f>MAX(H17-'Cash Flow'!I13*0.4,6000)</f>
        <v/>
      </c>
      <c r="J17" s="147">
        <f>MAX(I17-'Cash Flow'!J13*0.4,6000)</f>
        <v/>
      </c>
      <c r="K17" s="147">
        <f>MAX(J17-'Cash Flow'!K13*0.4,6000)</f>
        <v/>
      </c>
      <c r="L17" s="147">
        <f>MAX(K17-'Cash Flow'!L13*0.4,6000)</f>
        <v/>
      </c>
    </row>
    <row r="18" ht="15" customHeight="1" s="115">
      <c r="A18" s="118" t="inlineStr">
        <is>
          <t xml:space="preserve">  Pension Obligations</t>
        </is>
      </c>
      <c r="B18" s="153" t="n">
        <v>5000</v>
      </c>
      <c r="C18" s="153" t="n">
        <v>4500</v>
      </c>
      <c r="D18" s="153" t="n">
        <v>3500</v>
      </c>
      <c r="E18" s="136" t="n">
        <v>2676</v>
      </c>
      <c r="F18" s="136" t="n">
        <v>2566</v>
      </c>
      <c r="G18" s="147">
        <f>F18*0.97</f>
        <v/>
      </c>
      <c r="H18" s="147">
        <f>G18*0.97</f>
        <v/>
      </c>
      <c r="I18" s="147">
        <f>H18*0.97</f>
        <v/>
      </c>
      <c r="J18" s="147">
        <f>I18*0.97</f>
        <v/>
      </c>
      <c r="K18" s="147">
        <f>J18*0.97</f>
        <v/>
      </c>
      <c r="L18" s="147">
        <f>K18*0.97</f>
        <v/>
      </c>
    </row>
    <row r="19" ht="15" customHeight="1" s="115">
      <c r="A19" s="118" t="inlineStr">
        <is>
          <t xml:space="preserve">  Other Non-Current Liabilities</t>
        </is>
      </c>
      <c r="B19" s="153" t="n">
        <v>1500</v>
      </c>
      <c r="C19" s="153" t="n">
        <v>1500</v>
      </c>
      <c r="D19" s="153" t="n">
        <v>1500</v>
      </c>
      <c r="E19" s="153" t="n">
        <v>1500</v>
      </c>
      <c r="F19" s="153" t="n">
        <v>1500</v>
      </c>
      <c r="G19" s="147">
        <f>1500</f>
        <v/>
      </c>
      <c r="H19" s="147">
        <f>1500</f>
        <v/>
      </c>
      <c r="I19" s="147">
        <f>1500</f>
        <v/>
      </c>
      <c r="J19" s="147">
        <f>1500</f>
        <v/>
      </c>
      <c r="K19" s="147">
        <f>1500</f>
        <v/>
      </c>
      <c r="L19" s="147">
        <f>1500</f>
        <v/>
      </c>
    </row>
    <row r="20" ht="15" customHeight="1" s="115">
      <c r="A20" s="118" t="inlineStr">
        <is>
          <t>Total Non-Current Liabilities</t>
        </is>
      </c>
      <c r="B20" s="149">
        <f>SUM(B17:B19)</f>
        <v/>
      </c>
      <c r="C20" s="149">
        <f>SUM(C17:C19)</f>
        <v/>
      </c>
      <c r="D20" s="149">
        <f>SUM(D17:D19)</f>
        <v/>
      </c>
      <c r="E20" s="149">
        <f>SUM(E17:E19)</f>
        <v/>
      </c>
      <c r="F20" s="149">
        <f>SUM(F17:F19)</f>
        <v/>
      </c>
      <c r="G20" s="149">
        <f>SUM(G17:G19)</f>
        <v/>
      </c>
      <c r="H20" s="149">
        <f>SUM(H17:H19)</f>
        <v/>
      </c>
      <c r="I20" s="149">
        <f>SUM(I17:I19)</f>
        <v/>
      </c>
      <c r="J20" s="149">
        <f>SUM(J17:J19)</f>
        <v/>
      </c>
      <c r="K20" s="149">
        <f>SUM(K17:K19)</f>
        <v/>
      </c>
      <c r="L20" s="149">
        <f>SUM(L17:L19)</f>
        <v/>
      </c>
    </row>
    <row r="21" ht="15" customHeight="1" s="115">
      <c r="A21" s="130" t="inlineStr">
        <is>
          <t>CURRENT LIABILITIES</t>
        </is>
      </c>
      <c r="B21" s="131" t="n"/>
      <c r="C21" s="131" t="n"/>
      <c r="D21" s="131" t="n"/>
      <c r="E21" s="131" t="n"/>
      <c r="F21" s="131" t="n"/>
      <c r="G21" s="131" t="n"/>
      <c r="H21" s="131" t="n"/>
      <c r="I21" s="131" t="n"/>
      <c r="J21" s="131" t="n"/>
      <c r="K21" s="131" t="n"/>
      <c r="L21" s="132" t="n"/>
    </row>
    <row r="22" ht="15" customHeight="1" s="115">
      <c r="A22" s="118" t="inlineStr">
        <is>
          <t xml:space="preserve">  Current Borrowings &amp; Provisions</t>
        </is>
      </c>
      <c r="B22" s="153" t="n">
        <v>3000</v>
      </c>
      <c r="C22" s="153" t="n">
        <v>3000</v>
      </c>
      <c r="D22" s="153" t="n">
        <v>3000</v>
      </c>
      <c r="E22" s="153" t="n">
        <v>3000</v>
      </c>
      <c r="F22" s="153" t="n">
        <v>3000</v>
      </c>
      <c r="G22" s="147">
        <f>3000</f>
        <v/>
      </c>
      <c r="H22" s="147">
        <f>3000</f>
        <v/>
      </c>
      <c r="I22" s="147">
        <f>3000</f>
        <v/>
      </c>
      <c r="J22" s="147">
        <f>3000</f>
        <v/>
      </c>
      <c r="K22" s="147">
        <f>3000</f>
        <v/>
      </c>
      <c r="L22" s="147">
        <f>3000</f>
        <v/>
      </c>
    </row>
    <row r="23" ht="15" customHeight="1" s="115">
      <c r="A23" s="118" t="inlineStr">
        <is>
          <t xml:space="preserve">  Trade Payables  [= Revenue × 4.5%]</t>
        </is>
      </c>
      <c r="B23" s="153" t="n">
        <v>600</v>
      </c>
      <c r="C23" s="153" t="n">
        <v>750</v>
      </c>
      <c r="D23" s="153" t="n">
        <v>1450</v>
      </c>
      <c r="E23" s="153" t="n">
        <v>1600</v>
      </c>
      <c r="F23" s="153" t="n">
        <v>1700</v>
      </c>
      <c r="G23" s="147">
        <f>'Income Statement'!G3*0.045</f>
        <v/>
      </c>
      <c r="H23" s="147">
        <f>'Income Statement'!H3*0.045</f>
        <v/>
      </c>
      <c r="I23" s="147">
        <f>'Income Statement'!I3*0.045</f>
        <v/>
      </c>
      <c r="J23" s="147">
        <f>'Income Statement'!J3*0.045</f>
        <v/>
      </c>
      <c r="K23" s="147">
        <f>'Income Statement'!K3*0.045</f>
        <v/>
      </c>
      <c r="L23" s="147">
        <f>'Income Statement'!L3*0.045</f>
        <v/>
      </c>
    </row>
    <row r="24" ht="15" customHeight="1" s="115">
      <c r="A24" s="118" t="inlineStr">
        <is>
          <t xml:space="preserve">  Deferred Revenue (advance ticket sales)  [= Revenue × 9.0%]</t>
        </is>
      </c>
      <c r="B24" s="153" t="n">
        <v>1200</v>
      </c>
      <c r="C24" s="153" t="n">
        <v>1500</v>
      </c>
      <c r="D24" s="153" t="n">
        <v>2900</v>
      </c>
      <c r="E24" s="153" t="n">
        <v>3200</v>
      </c>
      <c r="F24" s="153" t="n">
        <v>3400</v>
      </c>
      <c r="G24" s="147">
        <f>'Income Statement'!G3*0.09</f>
        <v/>
      </c>
      <c r="H24" s="147">
        <f>'Income Statement'!H3*0.09</f>
        <v/>
      </c>
      <c r="I24" s="147">
        <f>'Income Statement'!I3*0.09</f>
        <v/>
      </c>
      <c r="J24" s="147">
        <f>'Income Statement'!J3*0.09</f>
        <v/>
      </c>
      <c r="K24" s="147">
        <f>'Income Statement'!K3*0.09</f>
        <v/>
      </c>
      <c r="L24" s="147">
        <f>'Income Statement'!L3*0.09</f>
        <v/>
      </c>
    </row>
    <row r="25" ht="15" customHeight="1" s="115">
      <c r="A25" s="118" t="inlineStr">
        <is>
          <t xml:space="preserve">  Other Current Liabilities  [= Revenue × 8.0%]</t>
        </is>
      </c>
      <c r="B25" s="153" t="n">
        <v>1100</v>
      </c>
      <c r="C25" s="153" t="n">
        <v>1300</v>
      </c>
      <c r="D25" s="153" t="n">
        <v>2600</v>
      </c>
      <c r="E25" s="153" t="n">
        <v>2800</v>
      </c>
      <c r="F25" s="153" t="n">
        <v>3000</v>
      </c>
      <c r="G25" s="147">
        <f>'Income Statement'!G3*0.08</f>
        <v/>
      </c>
      <c r="H25" s="147">
        <f>'Income Statement'!H3*0.08</f>
        <v/>
      </c>
      <c r="I25" s="147">
        <f>'Income Statement'!I3*0.08</f>
        <v/>
      </c>
      <c r="J25" s="147">
        <f>'Income Statement'!J3*0.08</f>
        <v/>
      </c>
      <c r="K25" s="147">
        <f>'Income Statement'!K3*0.08</f>
        <v/>
      </c>
      <c r="L25" s="147">
        <f>'Income Statement'!L3*0.08</f>
        <v/>
      </c>
    </row>
    <row r="26" ht="15" customHeight="1" s="115">
      <c r="A26" s="118" t="inlineStr">
        <is>
          <t>Total Current Liabilities</t>
        </is>
      </c>
      <c r="B26" s="149">
        <f>SUM(B22:B25)</f>
        <v/>
      </c>
      <c r="C26" s="149">
        <f>SUM(C22:C25)</f>
        <v/>
      </c>
      <c r="D26" s="149">
        <f>SUM(D22:D25)</f>
        <v/>
      </c>
      <c r="E26" s="149">
        <f>SUM(E22:E25)</f>
        <v/>
      </c>
      <c r="F26" s="149">
        <f>SUM(F22:F25)</f>
        <v/>
      </c>
      <c r="G26" s="149">
        <f>SUM(G22:G25)</f>
        <v/>
      </c>
      <c r="H26" s="149">
        <f>SUM(H22:H25)</f>
        <v/>
      </c>
      <c r="I26" s="149">
        <f>SUM(I22:I25)</f>
        <v/>
      </c>
      <c r="J26" s="149">
        <f>SUM(J22:J25)</f>
        <v/>
      </c>
      <c r="K26" s="149">
        <f>SUM(K22:K25)</f>
        <v/>
      </c>
      <c r="L26" s="149">
        <f>SUM(L22:L25)</f>
        <v/>
      </c>
    </row>
    <row r="27" ht="15" customHeight="1" s="115">
      <c r="A27" s="118" t="inlineStr">
        <is>
          <t>TOTAL EQUITY &amp; LIABILITIES</t>
        </is>
      </c>
      <c r="B27" s="157">
        <f>B15+B20+B26</f>
        <v/>
      </c>
      <c r="C27" s="157">
        <f>C15+C20+C26</f>
        <v/>
      </c>
      <c r="D27" s="157">
        <f>D15+D20+D26</f>
        <v/>
      </c>
      <c r="E27" s="157">
        <f>E15+E20+E26</f>
        <v/>
      </c>
      <c r="F27" s="157">
        <f>F15+F20+F26</f>
        <v/>
      </c>
      <c r="G27" s="157">
        <f>G15+G20+G26</f>
        <v/>
      </c>
      <c r="H27" s="157">
        <f>H15+H20+H26</f>
        <v/>
      </c>
      <c r="I27" s="157">
        <f>I15+I20+I26</f>
        <v/>
      </c>
      <c r="J27" s="157">
        <f>J15+J20+J26</f>
        <v/>
      </c>
      <c r="K27" s="157">
        <f>K15+K20+K26</f>
        <v/>
      </c>
      <c r="L27" s="157">
        <f>L15+L20+L26</f>
        <v/>
      </c>
    </row>
    <row r="28" ht="15" customHeight="1" s="115">
      <c r="A28" s="118" t="inlineStr">
        <is>
          <t>Balance Check  (TA − TE&amp;L)  ← non-zero in historical (estimated inputs)</t>
        </is>
      </c>
      <c r="B28" s="159">
        <f>B12-B27</f>
        <v/>
      </c>
      <c r="C28" s="159">
        <f>C12-C27</f>
        <v/>
      </c>
      <c r="D28" s="159">
        <f>D12-D27</f>
        <v/>
      </c>
      <c r="E28" s="159">
        <f>E12-E27</f>
        <v/>
      </c>
      <c r="F28" s="159">
        <f>F12-F27</f>
        <v/>
      </c>
      <c r="G28" s="159">
        <f>G12-G27</f>
        <v/>
      </c>
      <c r="H28" s="159">
        <f>H12-H27</f>
        <v/>
      </c>
      <c r="I28" s="159">
        <f>I12-I27</f>
        <v/>
      </c>
      <c r="J28" s="159">
        <f>J12-J27</f>
        <v/>
      </c>
      <c r="K28" s="159">
        <f>K12-K27</f>
        <v/>
      </c>
      <c r="L28" s="159">
        <f>L12-L27</f>
        <v/>
      </c>
    </row>
    <row r="30" ht="99.75" customHeight="1" s="115">
      <c r="A30" s="122" t="inlineStr">
        <is>
          <t>v4 Balance Sheet corrections (from LH 2022 FY Press Release, 03-Mar-2023):
• 2021 Total Assets updated 41,000 → 42,538 (now VERIFIED from press release comparative column).
• 2022 Equity updated 5,600 → 8,500 (press release: 'almost doubled to €8.5bn on Dec 31 2022'). The jump from ~€4.5bn (2021) to ~€8.5bn (2022) is driven by OCI pension remeasurement — net pension obligations fell from ~€6.5bn to ~€2.0bn in 2022, flowing through OCI, not P&amp;L. A simplified IS-based model cannot capture this via Net Income alone — cell kept orange (estimated).
• 2022 EBIT corrected to €1,231M (Reported EBIT, same press release). See IS sheet.
v3 structural changes still apply:
• Cash (row 8) forecast driven from CF waterfall row 28 — genuine 3-statement link.
• Equity (row 15) forecast = Prior + Net Income − (DPS × shares). LH resumed dividends 2023.
• Current Liabilities (rows 23-25): independently modelled, balance check is genuine.
VERIFIED items (2023-24): Total Assets (47,052 / 45,321), NCA (30,736 / 29,348), Aircraft (18,828 / 17,464), Equity (11,594 / 9,709), LT Borrowings 2024 (11,413), Pensions (2,566 / 2,676). Source: LH Annual Report 2024.</t>
        </is>
      </c>
    </row>
  </sheetData>
  <mergeCells count="6">
    <mergeCell ref="A16:L16"/>
    <mergeCell ref="A7:L7"/>
    <mergeCell ref="A1:L1"/>
    <mergeCell ref="A14:L14"/>
    <mergeCell ref="A3:L3"/>
    <mergeCell ref="A21:L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14" min="1" max="1"/>
    <col width="11" customWidth="1" style="114" min="2" max="12"/>
  </cols>
  <sheetData>
    <row r="1" ht="30" customHeight="1" s="115">
      <c r="A1" s="152" t="inlineStr">
        <is>
          <t>CASH FLOW STATEMENT  (€ millions)  |  Section A: FCFF (for DCF)  |  Section B: Cash Waterfall (for Balance Sheet)</t>
        </is>
      </c>
    </row>
    <row r="2" ht="18" customHeight="1" s="115">
      <c r="A2" s="117" t="n"/>
      <c r="B2" s="117" t="inlineStr">
        <is>
          <t>2020A</t>
        </is>
      </c>
      <c r="C2" s="117" t="inlineStr">
        <is>
          <t>2021A</t>
        </is>
      </c>
      <c r="D2" s="117" t="inlineStr">
        <is>
          <t>2022A</t>
        </is>
      </c>
      <c r="E2" s="117" t="inlineStr">
        <is>
          <t>2023A</t>
        </is>
      </c>
      <c r="F2" s="117" t="inlineStr">
        <is>
          <t>2024A</t>
        </is>
      </c>
      <c r="G2" s="129" t="inlineStr">
        <is>
          <t>2025E</t>
        </is>
      </c>
      <c r="H2" s="129" t="inlineStr">
        <is>
          <t>2026E</t>
        </is>
      </c>
      <c r="I2" s="129" t="inlineStr">
        <is>
          <t>2027E</t>
        </is>
      </c>
      <c r="J2" s="129" t="inlineStr">
        <is>
          <t>2028E</t>
        </is>
      </c>
      <c r="K2" s="129" t="inlineStr">
        <is>
          <t>2029E</t>
        </is>
      </c>
      <c r="L2" s="129" t="inlineStr">
        <is>
          <t>2030E</t>
        </is>
      </c>
    </row>
    <row r="3" ht="15" customHeight="1" s="115">
      <c r="A3" s="130" t="inlineStr">
        <is>
          <t>SECTION A — FREE CASH FLOW TO FIRM (FCFF)  [used for DCF valuation]</t>
        </is>
      </c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2" t="n"/>
    </row>
    <row r="4" ht="15" customHeight="1" s="115">
      <c r="A4" s="118" t="inlineStr">
        <is>
          <t>EBIT</t>
        </is>
      </c>
      <c r="B4" s="148">
        <f>'Income Statement'!B4</f>
        <v/>
      </c>
      <c r="C4" s="148">
        <f>'Income Statement'!C4</f>
        <v/>
      </c>
      <c r="D4" s="148">
        <f>'Income Statement'!D4</f>
        <v/>
      </c>
      <c r="E4" s="148">
        <f>'Income Statement'!E4</f>
        <v/>
      </c>
      <c r="F4" s="148">
        <f>'Income Statement'!F4</f>
        <v/>
      </c>
      <c r="G4" s="148">
        <f>'Income Statement'!G4</f>
        <v/>
      </c>
      <c r="H4" s="148">
        <f>'Income Statement'!H4</f>
        <v/>
      </c>
      <c r="I4" s="148">
        <f>'Income Statement'!I4</f>
        <v/>
      </c>
      <c r="J4" s="148">
        <f>'Income Statement'!J4</f>
        <v/>
      </c>
      <c r="K4" s="148">
        <f>'Income Statement'!K4</f>
        <v/>
      </c>
      <c r="L4" s="148">
        <f>'Income Statement'!L4</f>
        <v/>
      </c>
    </row>
    <row r="5" ht="15" customHeight="1" s="115">
      <c r="A5" s="118" t="inlineStr">
        <is>
          <t>Add: D&amp;A</t>
        </is>
      </c>
      <c r="B5" s="148">
        <f>'Income Statement'!B5</f>
        <v/>
      </c>
      <c r="C5" s="148">
        <f>'Income Statement'!C5</f>
        <v/>
      </c>
      <c r="D5" s="148">
        <f>'Income Statement'!D5</f>
        <v/>
      </c>
      <c r="E5" s="148">
        <f>'Income Statement'!E5</f>
        <v/>
      </c>
      <c r="F5" s="148">
        <f>'Income Statement'!F5</f>
        <v/>
      </c>
      <c r="G5" s="148">
        <f>'Income Statement'!G5</f>
        <v/>
      </c>
      <c r="H5" s="148">
        <f>'Income Statement'!H5</f>
        <v/>
      </c>
      <c r="I5" s="148">
        <f>'Income Statement'!I5</f>
        <v/>
      </c>
      <c r="J5" s="148">
        <f>'Income Statement'!J5</f>
        <v/>
      </c>
      <c r="K5" s="148">
        <f>'Income Statement'!K5</f>
        <v/>
      </c>
      <c r="L5" s="148">
        <f>'Income Statement'!L5</f>
        <v/>
      </c>
    </row>
    <row r="6" ht="15" customHeight="1" s="115">
      <c r="A6" s="118" t="inlineStr">
        <is>
          <t>Less: Tax Paid</t>
        </is>
      </c>
      <c r="B6" s="148">
        <f>-'Income Statement'!B9</f>
        <v/>
      </c>
      <c r="C6" s="148">
        <f>-'Income Statement'!C9</f>
        <v/>
      </c>
      <c r="D6" s="148">
        <f>-'Income Statement'!D9</f>
        <v/>
      </c>
      <c r="E6" s="148">
        <f>-'Income Statement'!E9</f>
        <v/>
      </c>
      <c r="F6" s="148">
        <f>-'Income Statement'!F9</f>
        <v/>
      </c>
      <c r="G6" s="148">
        <f>-'Income Statement'!G9</f>
        <v/>
      </c>
      <c r="H6" s="148">
        <f>-'Income Statement'!H9</f>
        <v/>
      </c>
      <c r="I6" s="148">
        <f>-'Income Statement'!I9</f>
        <v/>
      </c>
      <c r="J6" s="148">
        <f>-'Income Statement'!J9</f>
        <v/>
      </c>
      <c r="K6" s="148">
        <f>-'Income Statement'!K9</f>
        <v/>
      </c>
      <c r="L6" s="148">
        <f>-'Income Statement'!L9</f>
        <v/>
      </c>
    </row>
    <row r="7" ht="15" customHeight="1" s="115">
      <c r="A7" s="118" t="inlineStr">
        <is>
          <t>Change in Working Capital  (–ΔRevenue × 2%)</t>
        </is>
      </c>
      <c r="B7" s="136" t="n">
        <v>-800</v>
      </c>
      <c r="C7" s="136" t="n">
        <v>200</v>
      </c>
      <c r="D7" s="136" t="n">
        <v>-1200</v>
      </c>
      <c r="E7" s="136" t="n">
        <v>600</v>
      </c>
      <c r="F7" s="136" t="n">
        <v>-400</v>
      </c>
      <c r="G7" s="147">
        <f>-('Income Statement'!G3-'Income Statement'!F3)*0.02</f>
        <v/>
      </c>
      <c r="H7" s="147">
        <f>-('Income Statement'!H3-'Income Statement'!G3)*0.02</f>
        <v/>
      </c>
      <c r="I7" s="147">
        <f>-('Income Statement'!I3-'Income Statement'!H3)*0.02</f>
        <v/>
      </c>
      <c r="J7" s="147">
        <f>-('Income Statement'!J3-'Income Statement'!I3)*0.02</f>
        <v/>
      </c>
      <c r="K7" s="147">
        <f>-('Income Statement'!K3-'Income Statement'!J3)*0.02</f>
        <v/>
      </c>
      <c r="L7" s="147">
        <f>-('Income Statement'!L3-'Income Statement'!K3)*0.02</f>
        <v/>
      </c>
    </row>
    <row r="8" ht="15" customHeight="1" s="115">
      <c r="A8" s="118" t="inlineStr">
        <is>
          <t>Operating CF  (pre-interest, for FCFF)</t>
        </is>
      </c>
      <c r="B8" s="149">
        <f>SUM(B4:B7)</f>
        <v/>
      </c>
      <c r="C8" s="149">
        <f>SUM(C4:C7)</f>
        <v/>
      </c>
      <c r="D8" s="149">
        <f>SUM(D4:D7)</f>
        <v/>
      </c>
      <c r="E8" s="149">
        <f>SUM(E4:E7)</f>
        <v/>
      </c>
      <c r="F8" s="149">
        <f>SUM(F4:F7)</f>
        <v/>
      </c>
      <c r="G8" s="149">
        <f>SUM(G4:G7)</f>
        <v/>
      </c>
      <c r="H8" s="149">
        <f>SUM(H4:H7)</f>
        <v/>
      </c>
      <c r="I8" s="149">
        <f>SUM(I4:I7)</f>
        <v/>
      </c>
      <c r="J8" s="149">
        <f>SUM(J4:J7)</f>
        <v/>
      </c>
      <c r="K8" s="149">
        <f>SUM(K4:K7)</f>
        <v/>
      </c>
      <c r="L8" s="149">
        <f>SUM(L4:L7)</f>
        <v/>
      </c>
    </row>
    <row r="9" ht="15" customHeight="1" s="115">
      <c r="A9" s="130" t="inlineStr">
        <is>
          <t>INVESTING CASH FLOW  (CapEx)</t>
        </is>
      </c>
      <c r="B9" s="131" t="n"/>
      <c r="C9" s="131" t="n"/>
      <c r="D9" s="131" t="n"/>
      <c r="E9" s="131" t="n"/>
      <c r="F9" s="131" t="n"/>
      <c r="G9" s="131" t="n"/>
      <c r="H9" s="131" t="n"/>
      <c r="I9" s="131" t="n"/>
      <c r="J9" s="131" t="n"/>
      <c r="K9" s="131" t="n"/>
      <c r="L9" s="132" t="n"/>
    </row>
    <row r="10" ht="15" customHeight="1" s="115">
      <c r="A10" s="118" t="inlineStr">
        <is>
          <t>Capital Expenditure  (–CapEx)</t>
        </is>
      </c>
      <c r="B10" s="148">
        <f>IFERROR(-Assumptions!B7,0)</f>
        <v/>
      </c>
      <c r="C10" s="148">
        <f>IFERROR(-Assumptions!C7,0)</f>
        <v/>
      </c>
      <c r="D10" s="148">
        <f>IFERROR(-Assumptions!D7,0)</f>
        <v/>
      </c>
      <c r="E10" s="148">
        <f>IFERROR(-Assumptions!E7,0)</f>
        <v/>
      </c>
      <c r="F10" s="148">
        <f>IFERROR(-Assumptions!F7,0)</f>
        <v/>
      </c>
      <c r="G10" s="148">
        <f>IFERROR(-Assumptions!G7,0)</f>
        <v/>
      </c>
      <c r="H10" s="148">
        <f>IFERROR(-Assumptions!H7,0)</f>
        <v/>
      </c>
      <c r="I10" s="148">
        <f>IFERROR(-Assumptions!I7,0)</f>
        <v/>
      </c>
      <c r="J10" s="148">
        <f>IFERROR(-Assumptions!J7,0)</f>
        <v/>
      </c>
      <c r="K10" s="148">
        <f>IFERROR(-Assumptions!K7,0)</f>
        <v/>
      </c>
      <c r="L10" s="148">
        <f>IFERROR(-Assumptions!L7,0)</f>
        <v/>
      </c>
    </row>
    <row r="11" ht="15" customHeight="1" s="115">
      <c r="A11" s="118" t="inlineStr">
        <is>
          <t>Investing Cash Flow</t>
        </is>
      </c>
      <c r="B11" s="149">
        <f>B10</f>
        <v/>
      </c>
      <c r="C11" s="149">
        <f>C10</f>
        <v/>
      </c>
      <c r="D11" s="149">
        <f>D10</f>
        <v/>
      </c>
      <c r="E11" s="149">
        <f>E10</f>
        <v/>
      </c>
      <c r="F11" s="149">
        <f>F10</f>
        <v/>
      </c>
      <c r="G11" s="149">
        <f>G10</f>
        <v/>
      </c>
      <c r="H11" s="149">
        <f>H10</f>
        <v/>
      </c>
      <c r="I11" s="149">
        <f>I10</f>
        <v/>
      </c>
      <c r="J11" s="149">
        <f>J10</f>
        <v/>
      </c>
      <c r="K11" s="149">
        <f>K10</f>
        <v/>
      </c>
      <c r="L11" s="149">
        <f>L10</f>
        <v/>
      </c>
    </row>
    <row r="12" ht="15" customHeight="1" s="115">
      <c r="A12" s="130" t="inlineStr">
        <is>
          <t>FCFF  =  EBIT(1–t) + D&amp;A − CapEx − ΔNWC</t>
        </is>
      </c>
      <c r="B12" s="131" t="n"/>
      <c r="C12" s="131" t="n"/>
      <c r="D12" s="131" t="n"/>
      <c r="E12" s="131" t="n"/>
      <c r="F12" s="131" t="n"/>
      <c r="G12" s="131" t="n"/>
      <c r="H12" s="131" t="n"/>
      <c r="I12" s="131" t="n"/>
      <c r="J12" s="131" t="n"/>
      <c r="K12" s="131" t="n"/>
      <c r="L12" s="132" t="n"/>
    </row>
    <row r="13" ht="15" customHeight="1" s="115">
      <c r="A13" s="118" t="inlineStr">
        <is>
          <t>FCFF  (€M)</t>
        </is>
      </c>
      <c r="B13" s="157">
        <f>B4*(1-Assumptions!B9)+B5+B10+B7</f>
        <v/>
      </c>
      <c r="C13" s="157">
        <f>C4*(1-Assumptions!C9)+C5+C10+C7</f>
        <v/>
      </c>
      <c r="D13" s="157">
        <f>D4*(1-Assumptions!D9)+D5+D10+D7</f>
        <v/>
      </c>
      <c r="E13" s="157">
        <f>E4*(1-Assumptions!E9)+E5+E10+E7</f>
        <v/>
      </c>
      <c r="F13" s="157">
        <f>F4*(1-Assumptions!F9)+F5+F10+F7</f>
        <v/>
      </c>
      <c r="G13" s="157">
        <f>G4*(1-Assumptions!G9)+G5+G10+G7</f>
        <v/>
      </c>
      <c r="H13" s="157">
        <f>H4*(1-Assumptions!H9)+H5+H10+H7</f>
        <v/>
      </c>
      <c r="I13" s="157">
        <f>I4*(1-Assumptions!I9)+I5+I10+I7</f>
        <v/>
      </c>
      <c r="J13" s="157">
        <f>J4*(1-Assumptions!J9)+J5+J10+J7</f>
        <v/>
      </c>
      <c r="K13" s="157">
        <f>K4*(1-Assumptions!K9)+K5+K10+K7</f>
        <v/>
      </c>
      <c r="L13" s="157">
        <f>L4*(1-Assumptions!L9)+L5+L10+L7</f>
        <v/>
      </c>
    </row>
    <row r="15" ht="36" customHeight="1" s="115">
      <c r="A15" s="122" t="inlineStr">
        <is>
          <t>SECTION A — FCFF: FCFF = EBIT × (1–t) + D&amp;A − CapEx − ΔNWC. Used exclusively for DCF valuation (pre-interest, unlevered). FCFF ≠ operating CF: FCFF starts from EBIT (pre-interest) while operating CF starts from Net Income (post-interest, post-tax). 2024 verified operating CF: €3,892M (LH IR). See Section B below for the post-interest cash waterfall that drives the Balance Sheet cash balance.</t>
        </is>
      </c>
    </row>
    <row r="17" ht="15" customHeight="1" s="115">
      <c r="A17" s="130" t="inlineStr">
        <is>
          <t>SECTION B — BALANCE SHEET CASH WATERFALL  (indirect method, post-interest)  [drives BS row 8 cash]</t>
        </is>
      </c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2" t="n"/>
    </row>
    <row r="18" ht="15" customHeight="1" s="115">
      <c r="A18" s="118" t="inlineStr">
        <is>
          <t>Net Income  (post-interest, post-tax)</t>
        </is>
      </c>
      <c r="B18" s="148">
        <f>'Income Statement'!B10</f>
        <v/>
      </c>
      <c r="C18" s="148">
        <f>'Income Statement'!C10</f>
        <v/>
      </c>
      <c r="D18" s="148">
        <f>'Income Statement'!D10</f>
        <v/>
      </c>
      <c r="E18" s="148">
        <f>'Income Statement'!E10</f>
        <v/>
      </c>
      <c r="F18" s="148">
        <f>'Income Statement'!F10</f>
        <v/>
      </c>
      <c r="G18" s="148">
        <f>'Income Statement'!G10</f>
        <v/>
      </c>
      <c r="H18" s="148">
        <f>'Income Statement'!H10</f>
        <v/>
      </c>
      <c r="I18" s="148">
        <f>'Income Statement'!I10</f>
        <v/>
      </c>
      <c r="J18" s="148">
        <f>'Income Statement'!J10</f>
        <v/>
      </c>
      <c r="K18" s="148">
        <f>'Income Statement'!K10</f>
        <v/>
      </c>
      <c r="L18" s="148">
        <f>'Income Statement'!L10</f>
        <v/>
      </c>
    </row>
    <row r="19" ht="15" customHeight="1" s="115">
      <c r="A19" s="118" t="inlineStr">
        <is>
          <t>Add: D&amp;A  (non-cash)</t>
        </is>
      </c>
      <c r="B19" s="148">
        <f>'Income Statement'!B5</f>
        <v/>
      </c>
      <c r="C19" s="148">
        <f>'Income Statement'!C5</f>
        <v/>
      </c>
      <c r="D19" s="148">
        <f>'Income Statement'!D5</f>
        <v/>
      </c>
      <c r="E19" s="148">
        <f>'Income Statement'!E5</f>
        <v/>
      </c>
      <c r="F19" s="148">
        <f>'Income Statement'!F5</f>
        <v/>
      </c>
      <c r="G19" s="148">
        <f>'Income Statement'!G5</f>
        <v/>
      </c>
      <c r="H19" s="148">
        <f>'Income Statement'!H5</f>
        <v/>
      </c>
      <c r="I19" s="148">
        <f>'Income Statement'!I5</f>
        <v/>
      </c>
      <c r="J19" s="148">
        <f>'Income Statement'!J5</f>
        <v/>
      </c>
      <c r="K19" s="148">
        <f>'Income Statement'!K5</f>
        <v/>
      </c>
      <c r="L19" s="148">
        <f>'Income Statement'!L5</f>
        <v/>
      </c>
    </row>
    <row r="20" ht="15" customHeight="1" s="115">
      <c r="A20" s="118" t="inlineStr">
        <is>
          <t>Change in Working Capital</t>
        </is>
      </c>
      <c r="B20" s="136" t="n">
        <v>-800</v>
      </c>
      <c r="C20" s="136" t="n">
        <v>200</v>
      </c>
      <c r="D20" s="136" t="n">
        <v>-1200</v>
      </c>
      <c r="E20" s="136" t="n">
        <v>600</v>
      </c>
      <c r="F20" s="136" t="n">
        <v>-400</v>
      </c>
      <c r="G20" s="147">
        <f>-('Income Statement'!G3-'Income Statement'!F3)*0.02</f>
        <v/>
      </c>
      <c r="H20" s="147">
        <f>-('Income Statement'!H3-'Income Statement'!G3)*0.02</f>
        <v/>
      </c>
      <c r="I20" s="147">
        <f>-('Income Statement'!I3-'Income Statement'!H3)*0.02</f>
        <v/>
      </c>
      <c r="J20" s="147">
        <f>-('Income Statement'!J3-'Income Statement'!I3)*0.02</f>
        <v/>
      </c>
      <c r="K20" s="147">
        <f>-('Income Statement'!K3-'Income Statement'!J3)*0.02</f>
        <v/>
      </c>
      <c r="L20" s="147">
        <f>-('Income Statement'!L3-'Income Statement'!K3)*0.02</f>
        <v/>
      </c>
    </row>
    <row r="21" ht="15" customHeight="1" s="115">
      <c r="A21" s="118" t="inlineStr">
        <is>
          <t>Operating Cash Flow  (indirect, post-interest)</t>
        </is>
      </c>
      <c r="B21" s="149">
        <f>SUM(B18:B20)</f>
        <v/>
      </c>
      <c r="C21" s="149">
        <f>SUM(C18:C20)</f>
        <v/>
      </c>
      <c r="D21" s="149">
        <f>SUM(D18:D20)</f>
        <v/>
      </c>
      <c r="E21" s="149">
        <f>SUM(E18:E20)</f>
        <v/>
      </c>
      <c r="F21" s="149">
        <f>SUM(F18:F20)</f>
        <v/>
      </c>
      <c r="G21" s="149">
        <f>SUM(G18:G20)</f>
        <v/>
      </c>
      <c r="H21" s="149">
        <f>SUM(H18:H20)</f>
        <v/>
      </c>
      <c r="I21" s="149">
        <f>SUM(I18:I20)</f>
        <v/>
      </c>
      <c r="J21" s="149">
        <f>SUM(J18:J20)</f>
        <v/>
      </c>
      <c r="K21" s="149">
        <f>SUM(K18:K20)</f>
        <v/>
      </c>
      <c r="L21" s="149">
        <f>SUM(L18:L20)</f>
        <v/>
      </c>
    </row>
    <row r="22" ht="15" customHeight="1" s="115">
      <c r="A22" s="118" t="inlineStr">
        <is>
          <t>Capital Expenditure  (–CapEx)</t>
        </is>
      </c>
      <c r="B22" s="148">
        <f>IFERROR(-Assumptions!B7,0)</f>
        <v/>
      </c>
      <c r="C22" s="148">
        <f>IFERROR(-Assumptions!C7,0)</f>
        <v/>
      </c>
      <c r="D22" s="148">
        <f>IFERROR(-Assumptions!D7,0)</f>
        <v/>
      </c>
      <c r="E22" s="148">
        <f>IFERROR(-Assumptions!E7,0)</f>
        <v/>
      </c>
      <c r="F22" s="148">
        <f>IFERROR(-Assumptions!F7,0)</f>
        <v/>
      </c>
      <c r="G22" s="148">
        <f>IFERROR(-Assumptions!G7,0)</f>
        <v/>
      </c>
      <c r="H22" s="148">
        <f>IFERROR(-Assumptions!H7,0)</f>
        <v/>
      </c>
      <c r="I22" s="148">
        <f>IFERROR(-Assumptions!I7,0)</f>
        <v/>
      </c>
      <c r="J22" s="148">
        <f>IFERROR(-Assumptions!J7,0)</f>
        <v/>
      </c>
      <c r="K22" s="148">
        <f>IFERROR(-Assumptions!K7,0)</f>
        <v/>
      </c>
      <c r="L22" s="148">
        <f>IFERROR(-Assumptions!L7,0)</f>
        <v/>
      </c>
    </row>
    <row r="23" ht="15" customHeight="1" s="115">
      <c r="A23" s="118" t="inlineStr">
        <is>
          <t>Dividends Paid  [= –DPS × Shares]</t>
        </is>
      </c>
      <c r="B23" s="136" t="n">
        <v>0</v>
      </c>
      <c r="C23" s="136" t="n">
        <v>0</v>
      </c>
      <c r="D23" s="136" t="n">
        <v>0</v>
      </c>
      <c r="E23" s="136" t="n">
        <v>0</v>
      </c>
      <c r="F23" s="136" t="n">
        <v>-713</v>
      </c>
      <c r="G23" s="147">
        <f>-(Assumptions!G28*Assumptions!B26)</f>
        <v/>
      </c>
      <c r="H23" s="147">
        <f>-(Assumptions!H28*Assumptions!B26)</f>
        <v/>
      </c>
      <c r="I23" s="147">
        <f>-(Assumptions!I28*Assumptions!B26)</f>
        <v/>
      </c>
      <c r="J23" s="147">
        <f>-(Assumptions!J28*Assumptions!B26)</f>
        <v/>
      </c>
      <c r="K23" s="147">
        <f>-(Assumptions!K28*Assumptions!B26)</f>
        <v/>
      </c>
      <c r="L23" s="147">
        <f>-(Assumptions!L28*Assumptions!B26)</f>
        <v/>
      </c>
    </row>
    <row r="24" ht="15" customHeight="1" s="115">
      <c r="A24" s="118" t="inlineStr">
        <is>
          <t>Net Debt Repaid / (Drawn)  [–ve = repayment]</t>
        </is>
      </c>
      <c r="B24" s="136" t="n">
        <v>5000</v>
      </c>
      <c r="C24" s="136" t="n">
        <v>0</v>
      </c>
      <c r="D24" s="136" t="n">
        <v>-2000</v>
      </c>
      <c r="E24" s="136" t="n">
        <v>-3000</v>
      </c>
      <c r="F24" s="136" t="n">
        <v>-1587</v>
      </c>
      <c r="G24" s="147">
        <f>'Balance Sheet'!G17-'Balance Sheet'!F17</f>
        <v/>
      </c>
      <c r="H24" s="147">
        <f>'Balance Sheet'!H17-'Balance Sheet'!G17</f>
        <v/>
      </c>
      <c r="I24" s="147">
        <f>'Balance Sheet'!I17-'Balance Sheet'!H17</f>
        <v/>
      </c>
      <c r="J24" s="147">
        <f>'Balance Sheet'!J17-'Balance Sheet'!I17</f>
        <v/>
      </c>
      <c r="K24" s="147">
        <f>'Balance Sheet'!K17-'Balance Sheet'!J17</f>
        <v/>
      </c>
      <c r="L24" s="147">
        <f>'Balance Sheet'!L17-'Balance Sheet'!K17</f>
        <v/>
      </c>
    </row>
    <row r="25" ht="15" customHeight="1" s="115">
      <c r="A25" s="118" t="inlineStr">
        <is>
          <t>Financing Cash Flow  [Dividends + Net Debt Change]</t>
        </is>
      </c>
      <c r="B25" s="149">
        <f>B23+B24</f>
        <v/>
      </c>
      <c r="C25" s="149">
        <f>C23+C24</f>
        <v/>
      </c>
      <c r="D25" s="149">
        <f>D23+D24</f>
        <v/>
      </c>
      <c r="E25" s="149">
        <f>E23+E24</f>
        <v/>
      </c>
      <c r="F25" s="149">
        <f>F23+F24</f>
        <v/>
      </c>
      <c r="G25" s="149">
        <f>G23+G24</f>
        <v/>
      </c>
      <c r="H25" s="149">
        <f>H23+H24</f>
        <v/>
      </c>
      <c r="I25" s="149">
        <f>I23+I24</f>
        <v/>
      </c>
      <c r="J25" s="149">
        <f>J23+J24</f>
        <v/>
      </c>
      <c r="K25" s="149">
        <f>K23+K24</f>
        <v/>
      </c>
      <c r="L25" s="149">
        <f>L23+L24</f>
        <v/>
      </c>
    </row>
    <row r="26" ht="15" customHeight="1" s="115">
      <c r="A26" s="118" t="inlineStr">
        <is>
          <t>Net Change in Cash</t>
        </is>
      </c>
      <c r="B26" s="157">
        <f>B21+B22+B25</f>
        <v/>
      </c>
      <c r="C26" s="157">
        <f>C21+C22+C25</f>
        <v/>
      </c>
      <c r="D26" s="157">
        <f>D21+D22+D25</f>
        <v/>
      </c>
      <c r="E26" s="157">
        <f>E21+E22+E25</f>
        <v/>
      </c>
      <c r="F26" s="157">
        <f>F21+F22+F25</f>
        <v/>
      </c>
      <c r="G26" s="157">
        <f>G21+G22+G25</f>
        <v/>
      </c>
      <c r="H26" s="157">
        <f>H21+H22+H25</f>
        <v/>
      </c>
      <c r="I26" s="157">
        <f>I21+I22+I25</f>
        <v/>
      </c>
      <c r="J26" s="157">
        <f>J21+J22+J25</f>
        <v/>
      </c>
      <c r="K26" s="157">
        <f>K21+K22+K25</f>
        <v/>
      </c>
      <c r="L26" s="157">
        <f>L21+L22+L25</f>
        <v/>
      </c>
    </row>
    <row r="27" ht="15" customHeight="1" s="115">
      <c r="A27" s="118" t="inlineStr">
        <is>
          <t>Beginning Cash  (start of year)</t>
        </is>
      </c>
      <c r="B27" s="153" t="n">
        <v>3000</v>
      </c>
      <c r="C27" s="153" t="n">
        <v>2500</v>
      </c>
      <c r="D27" s="153" t="n">
        <v>2200</v>
      </c>
      <c r="E27" s="153" t="n">
        <v>2800</v>
      </c>
      <c r="F27" s="153" t="n">
        <v>3900</v>
      </c>
      <c r="G27" s="148">
        <f>'Balance Sheet'!F8</f>
        <v/>
      </c>
      <c r="H27" s="147">
        <f>'Cash Flow'!G28</f>
        <v/>
      </c>
      <c r="I27" s="147">
        <f>'Cash Flow'!H28</f>
        <v/>
      </c>
      <c r="J27" s="147">
        <f>'Cash Flow'!I28</f>
        <v/>
      </c>
      <c r="K27" s="147">
        <f>'Cash Flow'!J28</f>
        <v/>
      </c>
      <c r="L27" s="147">
        <f>'Cash Flow'!K28</f>
        <v/>
      </c>
    </row>
    <row r="28" ht="15" customHeight="1" s="115">
      <c r="A28" s="118" t="inlineStr">
        <is>
          <t>Ending Cash  [→ Balance Sheet row 8]</t>
        </is>
      </c>
      <c r="B28" s="160">
        <f>B27+B26</f>
        <v/>
      </c>
      <c r="C28" s="160">
        <f>C27+C26</f>
        <v/>
      </c>
      <c r="D28" s="160">
        <f>D27+D26</f>
        <v/>
      </c>
      <c r="E28" s="160">
        <f>E27+E26</f>
        <v/>
      </c>
      <c r="F28" s="160">
        <f>F27+F26</f>
        <v/>
      </c>
      <c r="G28" s="160">
        <f>G27+G26</f>
        <v/>
      </c>
      <c r="H28" s="160">
        <f>H27+H26</f>
        <v/>
      </c>
      <c r="I28" s="160">
        <f>I27+I26</f>
        <v/>
      </c>
      <c r="J28" s="160">
        <f>J27+J26</f>
        <v/>
      </c>
      <c r="K28" s="160">
        <f>K27+K26</f>
        <v/>
      </c>
      <c r="L28" s="160">
        <f>L27+L26</f>
        <v/>
      </c>
    </row>
    <row r="30" ht="90" customHeight="1" s="115">
      <c r="A30" s="122" t="inlineStr">
        <is>
          <t>SECTION B — Why two CF sections?
Section A (FCFF) starts from EBIT (pre-interest) to get an unlevered cash flow for DCF. Section B starts from Net Income (post-interest, post-tax) — the indirect method used for balance sheet integration. Both give related but distinct measures. Section B ending cash (row 28) drives Balance Sheet row 8 (Cash &amp; Equivalents) for forecast years, creating a genuine 3-statement link: Income Statement → Cash Flow → Balance Sheet.
Note: Historical CF waterfall may not exactly reconcile (estimated inputs). Forecast years should balance if assumptions are consistent.</t>
        </is>
      </c>
    </row>
  </sheetData>
  <mergeCells count="5">
    <mergeCell ref="A1:L1"/>
    <mergeCell ref="A17:L17"/>
    <mergeCell ref="A9:L9"/>
    <mergeCell ref="A3:L3"/>
    <mergeCell ref="A12:L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14" min="1" max="1"/>
    <col width="13" customWidth="1" style="114" min="2" max="2"/>
    <col width="50" customWidth="1" style="114" min="3" max="3"/>
    <col width="13" customWidth="1" style="114" min="4" max="7"/>
  </cols>
  <sheetData>
    <row r="1" ht="25.5" customHeight="1" s="115">
      <c r="A1" s="124" t="inlineStr">
        <is>
          <t>DCF VALUATION  (€ millions)  —  FCFF approach, Gordon Growth terminal value</t>
        </is>
      </c>
    </row>
    <row r="2" ht="15" customHeight="1" s="115">
      <c r="A2" s="117" t="n"/>
      <c r="B2" s="129" t="inlineStr">
        <is>
          <t>2025E</t>
        </is>
      </c>
      <c r="C2" s="129" t="inlineStr">
        <is>
          <t>2026E</t>
        </is>
      </c>
      <c r="D2" s="129" t="inlineStr">
        <is>
          <t>2027E</t>
        </is>
      </c>
      <c r="E2" s="129" t="inlineStr">
        <is>
          <t>2028E</t>
        </is>
      </c>
      <c r="F2" s="129" t="inlineStr">
        <is>
          <t>2029E</t>
        </is>
      </c>
      <c r="G2" s="129" t="inlineStr">
        <is>
          <t>2030E</t>
        </is>
      </c>
    </row>
    <row r="3" ht="15" customHeight="1" s="115">
      <c r="A3" s="130" t="inlineStr">
        <is>
          <t>PROJECTED FCFF  (linked from Cash Flow sheet, Section A)</t>
        </is>
      </c>
      <c r="B3" s="131" t="n"/>
      <c r="C3" s="131" t="n"/>
      <c r="D3" s="131" t="n"/>
      <c r="E3" s="131" t="n"/>
      <c r="F3" s="131" t="n"/>
      <c r="G3" s="132" t="n"/>
    </row>
    <row r="4" ht="15" customHeight="1" s="115">
      <c r="A4" s="118" t="inlineStr">
        <is>
          <t>FCFF  (€M)</t>
        </is>
      </c>
      <c r="B4" s="148">
        <f>'Cash Flow'!G13</f>
        <v/>
      </c>
      <c r="C4" s="148">
        <f>'Cash Flow'!H13</f>
        <v/>
      </c>
      <c r="D4" s="148">
        <f>'Cash Flow'!I13</f>
        <v/>
      </c>
      <c r="E4" s="148">
        <f>'Cash Flow'!J13</f>
        <v/>
      </c>
      <c r="F4" s="148">
        <f>'Cash Flow'!K13</f>
        <v/>
      </c>
      <c r="G4" s="148">
        <f>'Cash Flow'!L13</f>
        <v/>
      </c>
    </row>
    <row r="5" ht="15" customHeight="1" s="115">
      <c r="A5" s="118" t="inlineStr">
        <is>
          <t>Discount Period  (t = year 1–6)</t>
        </is>
      </c>
      <c r="B5" s="161" t="n">
        <v>1</v>
      </c>
      <c r="C5" s="161" t="n">
        <v>2</v>
      </c>
      <c r="D5" s="161" t="n">
        <v>3</v>
      </c>
      <c r="E5" s="161" t="n">
        <v>4</v>
      </c>
      <c r="F5" s="161" t="n">
        <v>5</v>
      </c>
      <c r="G5" s="161" t="n">
        <v>6</v>
      </c>
    </row>
    <row r="6" ht="15" customHeight="1" s="115">
      <c r="A6" s="118" t="inlineStr">
        <is>
          <t>Discount Factor  [1 ÷ (1+WACC)^t]</t>
        </is>
      </c>
      <c r="B6" s="162">
        <f>1/(1+Assumptions!B21)^B5</f>
        <v/>
      </c>
      <c r="C6" s="162">
        <f>1/(1+Assumptions!B21)^C5</f>
        <v/>
      </c>
      <c r="D6" s="162">
        <f>1/(1+Assumptions!B21)^D5</f>
        <v/>
      </c>
      <c r="E6" s="162">
        <f>1/(1+Assumptions!B21)^E5</f>
        <v/>
      </c>
      <c r="F6" s="162">
        <f>1/(1+Assumptions!B21)^F5</f>
        <v/>
      </c>
      <c r="G6" s="162">
        <f>1/(1+Assumptions!B21)^G5</f>
        <v/>
      </c>
    </row>
    <row r="7" ht="15" customHeight="1" s="115">
      <c r="A7" s="118" t="inlineStr">
        <is>
          <t>PV of FCFF</t>
        </is>
      </c>
      <c r="B7" s="147">
        <f>B4*B6</f>
        <v/>
      </c>
      <c r="C7" s="147">
        <f>C4*C6</f>
        <v/>
      </c>
      <c r="D7" s="147">
        <f>D4*D6</f>
        <v/>
      </c>
      <c r="E7" s="147">
        <f>E4*E6</f>
        <v/>
      </c>
      <c r="F7" s="147">
        <f>F4*F6</f>
        <v/>
      </c>
      <c r="G7" s="147">
        <f>G4*G6</f>
        <v/>
      </c>
    </row>
    <row r="9" ht="15" customHeight="1" s="115">
      <c r="A9" s="130" t="inlineStr">
        <is>
          <t>TERMINAL VALUE  (Gordon Growth Model)</t>
        </is>
      </c>
      <c r="B9" s="131" t="n"/>
      <c r="C9" s="131" t="n"/>
      <c r="D9" s="131" t="n"/>
      <c r="E9" s="131" t="n"/>
      <c r="F9" s="131" t="n"/>
      <c r="G9" s="132" t="n"/>
    </row>
    <row r="10" ht="15" customHeight="1" s="115">
      <c r="A10" s="118" t="inlineStr">
        <is>
          <t>Terminal Year FCFF  (2030E)</t>
        </is>
      </c>
      <c r="B10" s="148">
        <f>'Cash Flow'!L13</f>
        <v/>
      </c>
    </row>
    <row r="11" ht="15" customHeight="1" s="115">
      <c r="A11" s="118" t="inlineStr">
        <is>
          <t>WACC  (from Assumptions)</t>
        </is>
      </c>
      <c r="B11" s="163">
        <f>Assumptions!B21</f>
        <v/>
      </c>
    </row>
    <row r="12" ht="15" customHeight="1" s="115">
      <c r="A12" s="118" t="inlineStr">
        <is>
          <t>Terminal Growth Rate  g  (from Assumptions)</t>
        </is>
      </c>
      <c r="B12" s="163">
        <f>Assumptions!B22</f>
        <v/>
      </c>
    </row>
    <row r="13" ht="15" customHeight="1" s="115">
      <c r="A13" s="118" t="inlineStr">
        <is>
          <t>Terminal Value  =  FCFF₂₀₃₀ × (1+g) ÷ (WACC − g)</t>
        </is>
      </c>
      <c r="B13" s="147">
        <f>B10*(1+B12)/(B11-B12)</f>
        <v/>
      </c>
    </row>
    <row r="14" ht="15" customHeight="1" s="115">
      <c r="A14" s="118" t="inlineStr">
        <is>
          <t>PV of Terminal Value  [TV ÷ (1+WACC)^6]</t>
        </is>
      </c>
      <c r="B14" s="147">
        <f>B13/(1+Assumptions!B21)^6</f>
        <v/>
      </c>
      <c r="C14" s="139" t="inlineStr">
        <is>
          <t>← Gordon Growth: WACC must exceed g. Verified: 7.16% &gt; 2.0%.</t>
        </is>
      </c>
    </row>
    <row r="16" ht="15" customHeight="1" s="115">
      <c r="A16" s="130" t="inlineStr">
        <is>
          <t>EQUITY BRIDGE</t>
        </is>
      </c>
      <c r="B16" s="131" t="n"/>
      <c r="C16" s="131" t="n"/>
      <c r="D16" s="131" t="n"/>
      <c r="E16" s="131" t="n"/>
      <c r="F16" s="131" t="n"/>
      <c r="G16" s="132" t="n"/>
    </row>
    <row r="17" ht="15" customHeight="1" s="115">
      <c r="A17" s="118" t="inlineStr">
        <is>
          <t>Sum of PV FCFFs  (explicit period)</t>
        </is>
      </c>
      <c r="B17" s="164">
        <f>SUM(B7:G7)</f>
        <v/>
      </c>
    </row>
    <row r="18" ht="15" customHeight="1" s="115">
      <c r="A18" s="118" t="inlineStr">
        <is>
          <t>PV of Terminal Value</t>
        </is>
      </c>
      <c r="B18" s="164">
        <f>B14</f>
        <v/>
      </c>
    </row>
    <row r="19" ht="15" customHeight="1" s="115">
      <c r="A19" s="118" t="inlineStr">
        <is>
          <t>Enterprise Value  (EV)</t>
        </is>
      </c>
      <c r="B19" s="165">
        <f>B17+B18</f>
        <v/>
      </c>
    </row>
    <row r="20" ht="15" customHeight="1" s="115">
      <c r="A20" s="118" t="inlineStr">
        <is>
          <t>Less: Net Debt  (2024A verified)</t>
        </is>
      </c>
      <c r="B20" s="164">
        <f>Assumptions!B25</f>
        <v/>
      </c>
    </row>
    <row r="21" ht="15" customHeight="1" s="115">
      <c r="A21" s="118" t="inlineStr">
        <is>
          <t>Equity Value</t>
        </is>
      </c>
      <c r="B21" s="166">
        <f>B19-B20</f>
        <v/>
      </c>
    </row>
    <row r="22" ht="15" customHeight="1" s="115">
      <c r="A22" s="118" t="inlineStr">
        <is>
          <t>Shares Outstanding  (M)</t>
        </is>
      </c>
      <c r="B22" s="164">
        <f>Assumptions!B26</f>
        <v/>
      </c>
    </row>
    <row r="23" ht="15" customHeight="1" s="115">
      <c r="A23" s="118" t="inlineStr">
        <is>
          <t>Implied Share Price  (€)</t>
        </is>
      </c>
      <c r="B23" s="167">
        <f>B21/B22</f>
        <v/>
      </c>
    </row>
    <row r="24" ht="15" customHeight="1" s="115">
      <c r="A24" s="118" t="inlineStr">
        <is>
          <t>Reference: Year-End 2024 Price  (€)</t>
        </is>
      </c>
      <c r="B24" s="168">
        <f>Assumptions!B27</f>
        <v/>
      </c>
    </row>
    <row r="25" ht="15" customHeight="1" s="115">
      <c r="A25" s="118" t="inlineStr">
        <is>
          <t>DCF Upside / (Downside)</t>
        </is>
      </c>
      <c r="B25" s="169">
        <f>(B23-B24)/B24</f>
        <v/>
      </c>
    </row>
    <row r="26" ht="15" customHeight="1" s="115">
      <c r="A26" s="118" t="inlineStr">
        <is>
          <t>Terminal Value as % of EV</t>
        </is>
      </c>
      <c r="B26" s="169">
        <f>B18/B19</f>
        <v/>
      </c>
    </row>
    <row r="28" ht="36" customHeight="1" s="115">
      <c r="A28" s="122" t="inlineStr">
        <is>
          <t>FCFF chosen over FCFE: LH has significant debt (net debt €5.7B). FCFF values the whole firm independently of capital structure, then subtracts net debt for equity value. More stable than FCFE when leverage changes.
WACC: Ke=9.1% (CAPM: 2.5% + 1.20×5.5%), Kd(AT)=2.6% (3.5%×75%), 70/30 target weights → WACC≈7.16%.
Terminal growth 2.0%: below EU nominal GDP ~2.5%, conservative for capital-intensive legacy carrier.</t>
        </is>
      </c>
    </row>
  </sheetData>
  <mergeCells count="4">
    <mergeCell ref="A3:G3"/>
    <mergeCell ref="A16:G16"/>
    <mergeCell ref="A1:G1"/>
    <mergeCell ref="A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14" min="1" max="1"/>
    <col width="14" customWidth="1" style="114" min="2" max="8"/>
  </cols>
  <sheetData>
    <row r="1" ht="25.5" customHeight="1" s="115">
      <c r="A1" s="124" t="inlineStr">
        <is>
          <t>COMPARABLE COMPANY ANALYSIS  —  FY2024 Financials  |  Market caps: approximate Q4 2024</t>
        </is>
      </c>
    </row>
    <row r="2" ht="15" customHeight="1" s="115">
      <c r="A2" s="117" t="inlineStr">
        <is>
          <t>Company</t>
        </is>
      </c>
      <c r="B2" s="117" t="inlineStr">
        <is>
          <t>Mkt Cap (€M)</t>
        </is>
      </c>
      <c r="C2" s="117" t="inlineStr">
        <is>
          <t>Net Debt (€M)</t>
        </is>
      </c>
      <c r="D2" s="117" t="inlineStr">
        <is>
          <t>EV (€M)</t>
        </is>
      </c>
      <c r="E2" s="117" t="inlineStr">
        <is>
          <t>Revenue (€M)</t>
        </is>
      </c>
      <c r="F2" s="117" t="inlineStr">
        <is>
          <t>EBITDA (€M)</t>
        </is>
      </c>
      <c r="G2" s="117" t="inlineStr">
        <is>
          <t>EV/EBITDA</t>
        </is>
      </c>
      <c r="H2" s="117" t="inlineStr">
        <is>
          <t>P/E</t>
        </is>
      </c>
    </row>
    <row r="3" ht="15" customHeight="1" s="115">
      <c r="A3" s="170" t="inlineStr">
        <is>
          <t>Lufthansa</t>
        </is>
      </c>
      <c r="B3" s="156" t="n">
        <v>15400</v>
      </c>
      <c r="C3" s="156" t="n">
        <v>5744</v>
      </c>
      <c r="D3" s="157">
        <f>B3+C3</f>
        <v/>
      </c>
      <c r="E3" s="156" t="n">
        <v>37581</v>
      </c>
      <c r="F3" s="156" t="n">
        <v>4068</v>
      </c>
      <c r="G3" s="171">
        <f>D3/F3</f>
        <v/>
      </c>
      <c r="H3" s="172" t="n">
        <v>11.2</v>
      </c>
    </row>
    <row r="4" ht="15" customHeight="1" s="115">
      <c r="A4" s="173" t="inlineStr">
        <is>
          <t>Ryanair</t>
        </is>
      </c>
      <c r="B4" s="136" t="n">
        <v>24500</v>
      </c>
      <c r="C4" s="136" t="n">
        <v>-3200</v>
      </c>
      <c r="D4" s="147">
        <f>B4+C4</f>
        <v/>
      </c>
      <c r="E4" s="136" t="n">
        <v>14000</v>
      </c>
      <c r="F4" s="136" t="n">
        <v>4300</v>
      </c>
      <c r="G4" s="174">
        <f>D4/F4</f>
        <v/>
      </c>
      <c r="H4" s="175" t="n">
        <v>14.8</v>
      </c>
    </row>
    <row r="5" ht="15" customHeight="1" s="115">
      <c r="A5" s="173" t="inlineStr">
        <is>
          <t>IAG</t>
        </is>
      </c>
      <c r="B5" s="136" t="n">
        <v>14500</v>
      </c>
      <c r="C5" s="136" t="n">
        <v>7800</v>
      </c>
      <c r="D5" s="147">
        <f>B5+C5</f>
        <v/>
      </c>
      <c r="E5" s="136" t="n">
        <v>29900</v>
      </c>
      <c r="F5" s="136" t="n">
        <v>5800</v>
      </c>
      <c r="G5" s="174">
        <f>D5/F5</f>
        <v/>
      </c>
      <c r="H5" s="175" t="n">
        <v>9.1</v>
      </c>
    </row>
    <row r="6" ht="15" customHeight="1" s="115">
      <c r="A6" s="173" t="inlineStr">
        <is>
          <t>Air France-KLM</t>
        </is>
      </c>
      <c r="B6" s="136" t="n">
        <v>4200</v>
      </c>
      <c r="C6" s="136" t="n">
        <v>9000</v>
      </c>
      <c r="D6" s="147">
        <f>B6+C6</f>
        <v/>
      </c>
      <c r="E6" s="136" t="n">
        <v>31000</v>
      </c>
      <c r="F6" s="136" t="n">
        <v>5000</v>
      </c>
      <c r="G6" s="174">
        <f>D6/F6</f>
        <v/>
      </c>
      <c r="H6" s="175" t="n">
        <v>7.2</v>
      </c>
    </row>
    <row r="7" ht="15" customHeight="1" s="115">
      <c r="A7" s="173" t="inlineStr">
        <is>
          <t>easyJet</t>
        </is>
      </c>
      <c r="B7" s="136" t="n">
        <v>5200</v>
      </c>
      <c r="C7" s="136" t="n">
        <v>1500</v>
      </c>
      <c r="D7" s="147">
        <f>B7+C7</f>
        <v/>
      </c>
      <c r="E7" s="136" t="n">
        <v>10100</v>
      </c>
      <c r="F7" s="136" t="n">
        <v>1900</v>
      </c>
      <c r="G7" s="174">
        <f>D7/F7</f>
        <v/>
      </c>
      <c r="H7" s="175" t="n">
        <v>12.5</v>
      </c>
    </row>
    <row r="8" ht="15" customHeight="1" s="115">
      <c r="A8" s="130" t="inlineStr">
        <is>
          <t>Median (excl. Lufthansa)</t>
        </is>
      </c>
      <c r="B8" s="176">
        <f>MEDIAN(B4:B7)</f>
        <v/>
      </c>
      <c r="C8" s="176">
        <f>MEDIAN(C4:C7)</f>
        <v/>
      </c>
      <c r="D8" s="177" t="n"/>
      <c r="E8" s="176">
        <f>MEDIAN(E4:E7)</f>
        <v/>
      </c>
      <c r="F8" s="176">
        <f>MEDIAN(F4:F7)</f>
        <v/>
      </c>
      <c r="G8" s="178">
        <f>MEDIAN(G4:G7)</f>
        <v/>
      </c>
      <c r="H8" s="178">
        <f>MEDIAN(H4:H7)</f>
        <v/>
      </c>
    </row>
    <row r="9" ht="60" customHeight="1" s="115">
      <c r="A9" s="122" t="inlineStr">
        <is>
          <t>⚠ Market caps approximate Q4 2024. Re-verify before presentation. IAG in GBP → converted ~1.18 GBPEUR. Revenue and EBITDA: FY2024 reported from company IR / annual reports. Source: company IR pages, Bloomberg proxy.</t>
        </is>
      </c>
    </row>
    <row r="12" ht="15" customHeight="1" s="115">
      <c r="A12" s="130" t="inlineStr">
        <is>
          <t>MULTIPLE-BASED VALUATION — EV/EBITDA</t>
        </is>
      </c>
      <c r="B12" s="177" t="n"/>
      <c r="C12" s="177" t="n"/>
      <c r="D12" s="177" t="n"/>
    </row>
    <row r="13" ht="15" customHeight="1" s="115">
      <c r="A13" s="118" t="inlineStr">
        <is>
          <t>Lufthansa EBITDA (2024A verified)</t>
        </is>
      </c>
      <c r="B13" s="148">
        <f>'Income Statement'!F6</f>
        <v/>
      </c>
    </row>
    <row r="14" ht="15" customHeight="1" s="115">
      <c r="A14" s="118" t="inlineStr">
        <is>
          <t>Median EV/EBITDA (ex-LH)</t>
        </is>
      </c>
      <c r="B14" s="174">
        <f>G8</f>
        <v/>
      </c>
    </row>
    <row r="15" ht="15" customHeight="1" s="115">
      <c r="A15" s="118" t="inlineStr">
        <is>
          <t>Implied EV</t>
        </is>
      </c>
      <c r="B15" s="147">
        <f>B13*B14</f>
        <v/>
      </c>
    </row>
    <row r="16" ht="15" customHeight="1" s="115">
      <c r="A16" s="118" t="inlineStr">
        <is>
          <t>Less: Net Debt (2024A verified)</t>
        </is>
      </c>
      <c r="B16" s="148">
        <f>Assumptions!B25</f>
        <v/>
      </c>
    </row>
    <row r="17" ht="15" customHeight="1" s="115">
      <c r="A17" s="118" t="inlineStr">
        <is>
          <t>Implied Equity Value</t>
        </is>
      </c>
      <c r="B17" s="149">
        <f>B15-B16</f>
        <v/>
      </c>
    </row>
    <row r="18" ht="15" customHeight="1" s="115">
      <c r="A18" s="118" t="inlineStr">
        <is>
          <t>Implied Share Price — Comps  (€)</t>
        </is>
      </c>
      <c r="B18" s="167">
        <f>B17/Assumptions!B26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14" min="1" max="1"/>
    <col width="12" customWidth="1" style="114" min="2" max="8"/>
  </cols>
  <sheetData>
    <row r="1" ht="25.5" customHeight="1" s="115">
      <c r="A1" s="124" t="inlineStr">
        <is>
          <t>SENSITIVITY — Implied Share Price (€)  |  WACC × Terminal Growth Rate  |  Base case highlighted</t>
        </is>
      </c>
    </row>
    <row r="3" ht="15" customHeight="1" s="115">
      <c r="A3" s="179" t="inlineStr">
        <is>
          <t>WACC \ TGR</t>
        </is>
      </c>
      <c r="B3" s="180" t="n">
        <v>0.01</v>
      </c>
      <c r="C3" s="180" t="n">
        <v>0.015</v>
      </c>
      <c r="D3" s="180" t="n">
        <v>0.02</v>
      </c>
      <c r="E3" s="180" t="n">
        <v>0.025</v>
      </c>
      <c r="F3" s="180" t="n">
        <v>0.03</v>
      </c>
      <c r="G3" s="180" t="n">
        <v>0.035</v>
      </c>
      <c r="H3" s="180" t="n">
        <v>0.04</v>
      </c>
    </row>
    <row r="4" ht="18" customHeight="1" s="115">
      <c r="A4" s="180" t="n">
        <v>0.06</v>
      </c>
      <c r="B4" s="181">
        <f>IF($A4&lt;=B$3,"N/A",('Cash Flow'!G13/(1+$A4)^1+'Cash Flow'!H13/(1+$A4)^2+'Cash Flow'!I13/(1+$A4)^3+'Cash Flow'!J13/(1+$A4)^4+'Cash Flow'!K13/(1+$A4)^5+'Cash Flow'!L13/(1+$A4)^6+('Cash Flow'!L13*(1+B$3)/($A4-B$3))/(1+$A4)^6-Assumptions!B25)/Assumptions!B26)</f>
        <v/>
      </c>
      <c r="C4" s="181">
        <f>IF($A4&lt;=C$3,"N/A",('Cash Flow'!G13/(1+$A4)^1+'Cash Flow'!H13/(1+$A4)^2+'Cash Flow'!I13/(1+$A4)^3+'Cash Flow'!J13/(1+$A4)^4+'Cash Flow'!K13/(1+$A4)^5+'Cash Flow'!L13/(1+$A4)^6+('Cash Flow'!L13*(1+C$3)/($A4-C$3))/(1+$A4)^6-Assumptions!B25)/Assumptions!B26)</f>
        <v/>
      </c>
      <c r="D4" s="181">
        <f>IF($A4&lt;=D$3,"N/A",('Cash Flow'!G13/(1+$A4)^1+'Cash Flow'!H13/(1+$A4)^2+'Cash Flow'!I13/(1+$A4)^3+'Cash Flow'!J13/(1+$A4)^4+'Cash Flow'!K13/(1+$A4)^5+'Cash Flow'!L13/(1+$A4)^6+('Cash Flow'!L13*(1+D$3)/($A4-D$3))/(1+$A4)^6-Assumptions!B25)/Assumptions!B26)</f>
        <v/>
      </c>
      <c r="E4" s="181">
        <f>IF($A4&lt;=E$3,"N/A",('Cash Flow'!G13/(1+$A4)^1+'Cash Flow'!H13/(1+$A4)^2+'Cash Flow'!I13/(1+$A4)^3+'Cash Flow'!J13/(1+$A4)^4+'Cash Flow'!K13/(1+$A4)^5+'Cash Flow'!L13/(1+$A4)^6+('Cash Flow'!L13*(1+E$3)/($A4-E$3))/(1+$A4)^6-Assumptions!B25)/Assumptions!B26)</f>
        <v/>
      </c>
      <c r="F4" s="181">
        <f>IF($A4&lt;=F$3,"N/A",('Cash Flow'!G13/(1+$A4)^1+'Cash Flow'!H13/(1+$A4)^2+'Cash Flow'!I13/(1+$A4)^3+'Cash Flow'!J13/(1+$A4)^4+'Cash Flow'!K13/(1+$A4)^5+'Cash Flow'!L13/(1+$A4)^6+('Cash Flow'!L13*(1+F$3)/($A4-F$3))/(1+$A4)^6-Assumptions!B25)/Assumptions!B26)</f>
        <v/>
      </c>
      <c r="G4" s="181">
        <f>IF($A4&lt;=G$3,"N/A",('Cash Flow'!G13/(1+$A4)^1+'Cash Flow'!H13/(1+$A4)^2+'Cash Flow'!I13/(1+$A4)^3+'Cash Flow'!J13/(1+$A4)^4+'Cash Flow'!K13/(1+$A4)^5+'Cash Flow'!L13/(1+$A4)^6+('Cash Flow'!L13*(1+G$3)/($A4-G$3))/(1+$A4)^6-Assumptions!B25)/Assumptions!B26)</f>
        <v/>
      </c>
      <c r="H4" s="181">
        <f>IF($A4&lt;=H$3,"N/A",('Cash Flow'!G13/(1+$A4)^1+'Cash Flow'!H13/(1+$A4)^2+'Cash Flow'!I13/(1+$A4)^3+'Cash Flow'!J13/(1+$A4)^4+'Cash Flow'!K13/(1+$A4)^5+'Cash Flow'!L13/(1+$A4)^6+('Cash Flow'!L13*(1+H$3)/($A4-H$3))/(1+$A4)^6-Assumptions!B25)/Assumptions!B26)</f>
        <v/>
      </c>
    </row>
    <row r="5" ht="18" customHeight="1" s="115">
      <c r="A5" s="180" t="n">
        <v>0.065</v>
      </c>
      <c r="B5" s="181">
        <f>IF($A5&lt;=B$3,"N/A",('Cash Flow'!G13/(1+$A5)^1+'Cash Flow'!H13/(1+$A5)^2+'Cash Flow'!I13/(1+$A5)^3+'Cash Flow'!J13/(1+$A5)^4+'Cash Flow'!K13/(1+$A5)^5+'Cash Flow'!L13/(1+$A5)^6+('Cash Flow'!L13*(1+B$3)/($A5-B$3))/(1+$A5)^6-Assumptions!B25)/Assumptions!B26)</f>
        <v/>
      </c>
      <c r="C5" s="181">
        <f>IF($A5&lt;=C$3,"N/A",('Cash Flow'!G13/(1+$A5)^1+'Cash Flow'!H13/(1+$A5)^2+'Cash Flow'!I13/(1+$A5)^3+'Cash Flow'!J13/(1+$A5)^4+'Cash Flow'!K13/(1+$A5)^5+'Cash Flow'!L13/(1+$A5)^6+('Cash Flow'!L13*(1+C$3)/($A5-C$3))/(1+$A5)^6-Assumptions!B25)/Assumptions!B26)</f>
        <v/>
      </c>
      <c r="D5" s="181">
        <f>IF($A5&lt;=D$3,"N/A",('Cash Flow'!G13/(1+$A5)^1+'Cash Flow'!H13/(1+$A5)^2+'Cash Flow'!I13/(1+$A5)^3+'Cash Flow'!J13/(1+$A5)^4+'Cash Flow'!K13/(1+$A5)^5+'Cash Flow'!L13/(1+$A5)^6+('Cash Flow'!L13*(1+D$3)/($A5-D$3))/(1+$A5)^6-Assumptions!B25)/Assumptions!B26)</f>
        <v/>
      </c>
      <c r="E5" s="181">
        <f>IF($A5&lt;=E$3,"N/A",('Cash Flow'!G13/(1+$A5)^1+'Cash Flow'!H13/(1+$A5)^2+'Cash Flow'!I13/(1+$A5)^3+'Cash Flow'!J13/(1+$A5)^4+'Cash Flow'!K13/(1+$A5)^5+'Cash Flow'!L13/(1+$A5)^6+('Cash Flow'!L13*(1+E$3)/($A5-E$3))/(1+$A5)^6-Assumptions!B25)/Assumptions!B26)</f>
        <v/>
      </c>
      <c r="F5" s="181">
        <f>IF($A5&lt;=F$3,"N/A",('Cash Flow'!G13/(1+$A5)^1+'Cash Flow'!H13/(1+$A5)^2+'Cash Flow'!I13/(1+$A5)^3+'Cash Flow'!J13/(1+$A5)^4+'Cash Flow'!K13/(1+$A5)^5+'Cash Flow'!L13/(1+$A5)^6+('Cash Flow'!L13*(1+F$3)/($A5-F$3))/(1+$A5)^6-Assumptions!B25)/Assumptions!B26)</f>
        <v/>
      </c>
      <c r="G5" s="181">
        <f>IF($A5&lt;=G$3,"N/A",('Cash Flow'!G13/(1+$A5)^1+'Cash Flow'!H13/(1+$A5)^2+'Cash Flow'!I13/(1+$A5)^3+'Cash Flow'!J13/(1+$A5)^4+'Cash Flow'!K13/(1+$A5)^5+'Cash Flow'!L13/(1+$A5)^6+('Cash Flow'!L13*(1+G$3)/($A5-G$3))/(1+$A5)^6-Assumptions!B25)/Assumptions!B26)</f>
        <v/>
      </c>
      <c r="H5" s="181">
        <f>IF($A5&lt;=H$3,"N/A",('Cash Flow'!G13/(1+$A5)^1+'Cash Flow'!H13/(1+$A5)^2+'Cash Flow'!I13/(1+$A5)^3+'Cash Flow'!J13/(1+$A5)^4+'Cash Flow'!K13/(1+$A5)^5+'Cash Flow'!L13/(1+$A5)^6+('Cash Flow'!L13*(1+H$3)/($A5-H$3))/(1+$A5)^6-Assumptions!B25)/Assumptions!B26)</f>
        <v/>
      </c>
    </row>
    <row r="6" ht="18" customHeight="1" s="115">
      <c r="A6" s="180" t="n">
        <v>0.07000000000000001</v>
      </c>
      <c r="B6" s="181">
        <f>IF($A6&lt;=B$3,"N/A",('Cash Flow'!G13/(1+$A6)^1+'Cash Flow'!H13/(1+$A6)^2+'Cash Flow'!I13/(1+$A6)^3+'Cash Flow'!J13/(1+$A6)^4+'Cash Flow'!K13/(1+$A6)^5+'Cash Flow'!L13/(1+$A6)^6+('Cash Flow'!L13*(1+B$3)/($A6-B$3))/(1+$A6)^6-Assumptions!B25)/Assumptions!B26)</f>
        <v/>
      </c>
      <c r="C6" s="181">
        <f>IF($A6&lt;=C$3,"N/A",('Cash Flow'!G13/(1+$A6)^1+'Cash Flow'!H13/(1+$A6)^2+'Cash Flow'!I13/(1+$A6)^3+'Cash Flow'!J13/(1+$A6)^4+'Cash Flow'!K13/(1+$A6)^5+'Cash Flow'!L13/(1+$A6)^6+('Cash Flow'!L13*(1+C$3)/($A6-C$3))/(1+$A6)^6-Assumptions!B25)/Assumptions!B26)</f>
        <v/>
      </c>
      <c r="D6" s="182">
        <f>IF($A6&lt;=D$3,"N/A",('Cash Flow'!G13/(1+$A6)^1+'Cash Flow'!H13/(1+$A6)^2+'Cash Flow'!I13/(1+$A6)^3+'Cash Flow'!J13/(1+$A6)^4+'Cash Flow'!K13/(1+$A6)^5+'Cash Flow'!L13/(1+$A6)^6+('Cash Flow'!L13*(1+D$3)/($A6-D$3))/(1+$A6)^6-Assumptions!B25)/Assumptions!B26)</f>
        <v/>
      </c>
      <c r="E6" s="181">
        <f>IF($A6&lt;=E$3,"N/A",('Cash Flow'!G13/(1+$A6)^1+'Cash Flow'!H13/(1+$A6)^2+'Cash Flow'!I13/(1+$A6)^3+'Cash Flow'!J13/(1+$A6)^4+'Cash Flow'!K13/(1+$A6)^5+'Cash Flow'!L13/(1+$A6)^6+('Cash Flow'!L13*(1+E$3)/($A6-E$3))/(1+$A6)^6-Assumptions!B25)/Assumptions!B26)</f>
        <v/>
      </c>
      <c r="F6" s="181">
        <f>IF($A6&lt;=F$3,"N/A",('Cash Flow'!G13/(1+$A6)^1+'Cash Flow'!H13/(1+$A6)^2+'Cash Flow'!I13/(1+$A6)^3+'Cash Flow'!J13/(1+$A6)^4+'Cash Flow'!K13/(1+$A6)^5+'Cash Flow'!L13/(1+$A6)^6+('Cash Flow'!L13*(1+F$3)/($A6-F$3))/(1+$A6)^6-Assumptions!B25)/Assumptions!B26)</f>
        <v/>
      </c>
      <c r="G6" s="181">
        <f>IF($A6&lt;=G$3,"N/A",('Cash Flow'!G13/(1+$A6)^1+'Cash Flow'!H13/(1+$A6)^2+'Cash Flow'!I13/(1+$A6)^3+'Cash Flow'!J13/(1+$A6)^4+'Cash Flow'!K13/(1+$A6)^5+'Cash Flow'!L13/(1+$A6)^6+('Cash Flow'!L13*(1+G$3)/($A6-G$3))/(1+$A6)^6-Assumptions!B25)/Assumptions!B26)</f>
        <v/>
      </c>
      <c r="H6" s="181">
        <f>IF($A6&lt;=H$3,"N/A",('Cash Flow'!G13/(1+$A6)^1+'Cash Flow'!H13/(1+$A6)^2+'Cash Flow'!I13/(1+$A6)^3+'Cash Flow'!J13/(1+$A6)^4+'Cash Flow'!K13/(1+$A6)^5+'Cash Flow'!L13/(1+$A6)^6+('Cash Flow'!L13*(1+H$3)/($A6-H$3))/(1+$A6)^6-Assumptions!B25)/Assumptions!B26)</f>
        <v/>
      </c>
    </row>
    <row r="7" ht="18" customHeight="1" s="115">
      <c r="A7" s="180" t="n">
        <v>0.075</v>
      </c>
      <c r="B7" s="181">
        <f>IF($A7&lt;=B$3,"N/A",('Cash Flow'!G13/(1+$A7)^1+'Cash Flow'!H13/(1+$A7)^2+'Cash Flow'!I13/(1+$A7)^3+'Cash Flow'!J13/(1+$A7)^4+'Cash Flow'!K13/(1+$A7)^5+'Cash Flow'!L13/(1+$A7)^6+('Cash Flow'!L13*(1+B$3)/($A7-B$3))/(1+$A7)^6-Assumptions!B25)/Assumptions!B26)</f>
        <v/>
      </c>
      <c r="C7" s="181">
        <f>IF($A7&lt;=C$3,"N/A",('Cash Flow'!G13/(1+$A7)^1+'Cash Flow'!H13/(1+$A7)^2+'Cash Flow'!I13/(1+$A7)^3+'Cash Flow'!J13/(1+$A7)^4+'Cash Flow'!K13/(1+$A7)^5+'Cash Flow'!L13/(1+$A7)^6+('Cash Flow'!L13*(1+C$3)/($A7-C$3))/(1+$A7)^6-Assumptions!B25)/Assumptions!B26)</f>
        <v/>
      </c>
      <c r="D7" s="181">
        <f>IF($A7&lt;=D$3,"N/A",('Cash Flow'!G13/(1+$A7)^1+'Cash Flow'!H13/(1+$A7)^2+'Cash Flow'!I13/(1+$A7)^3+'Cash Flow'!J13/(1+$A7)^4+'Cash Flow'!K13/(1+$A7)^5+'Cash Flow'!L13/(1+$A7)^6+('Cash Flow'!L13*(1+D$3)/($A7-D$3))/(1+$A7)^6-Assumptions!B25)/Assumptions!B26)</f>
        <v/>
      </c>
      <c r="E7" s="181">
        <f>IF($A7&lt;=E$3,"N/A",('Cash Flow'!G13/(1+$A7)^1+'Cash Flow'!H13/(1+$A7)^2+'Cash Flow'!I13/(1+$A7)^3+'Cash Flow'!J13/(1+$A7)^4+'Cash Flow'!K13/(1+$A7)^5+'Cash Flow'!L13/(1+$A7)^6+('Cash Flow'!L13*(1+E$3)/($A7-E$3))/(1+$A7)^6-Assumptions!B25)/Assumptions!B26)</f>
        <v/>
      </c>
      <c r="F7" s="181">
        <f>IF($A7&lt;=F$3,"N/A",('Cash Flow'!G13/(1+$A7)^1+'Cash Flow'!H13/(1+$A7)^2+'Cash Flow'!I13/(1+$A7)^3+'Cash Flow'!J13/(1+$A7)^4+'Cash Flow'!K13/(1+$A7)^5+'Cash Flow'!L13/(1+$A7)^6+('Cash Flow'!L13*(1+F$3)/($A7-F$3))/(1+$A7)^6-Assumptions!B25)/Assumptions!B26)</f>
        <v/>
      </c>
      <c r="G7" s="181">
        <f>IF($A7&lt;=G$3,"N/A",('Cash Flow'!G13/(1+$A7)^1+'Cash Flow'!H13/(1+$A7)^2+'Cash Flow'!I13/(1+$A7)^3+'Cash Flow'!J13/(1+$A7)^4+'Cash Flow'!K13/(1+$A7)^5+'Cash Flow'!L13/(1+$A7)^6+('Cash Flow'!L13*(1+G$3)/($A7-G$3))/(1+$A7)^6-Assumptions!B25)/Assumptions!B26)</f>
        <v/>
      </c>
      <c r="H7" s="181">
        <f>IF($A7&lt;=H$3,"N/A",('Cash Flow'!G13/(1+$A7)^1+'Cash Flow'!H13/(1+$A7)^2+'Cash Flow'!I13/(1+$A7)^3+'Cash Flow'!J13/(1+$A7)^4+'Cash Flow'!K13/(1+$A7)^5+'Cash Flow'!L13/(1+$A7)^6+('Cash Flow'!L13*(1+H$3)/($A7-H$3))/(1+$A7)^6-Assumptions!B25)/Assumptions!B26)</f>
        <v/>
      </c>
    </row>
    <row r="8" ht="18" customHeight="1" s="115">
      <c r="A8" s="180" t="n">
        <v>0.08</v>
      </c>
      <c r="B8" s="181">
        <f>IF($A8&lt;=B$3,"N/A",('Cash Flow'!G13/(1+$A8)^1+'Cash Flow'!H13/(1+$A8)^2+'Cash Flow'!I13/(1+$A8)^3+'Cash Flow'!J13/(1+$A8)^4+'Cash Flow'!K13/(1+$A8)^5+'Cash Flow'!L13/(1+$A8)^6+('Cash Flow'!L13*(1+B$3)/($A8-B$3))/(1+$A8)^6-Assumptions!B25)/Assumptions!B26)</f>
        <v/>
      </c>
      <c r="C8" s="181">
        <f>IF($A8&lt;=C$3,"N/A",('Cash Flow'!G13/(1+$A8)^1+'Cash Flow'!H13/(1+$A8)^2+'Cash Flow'!I13/(1+$A8)^3+'Cash Flow'!J13/(1+$A8)^4+'Cash Flow'!K13/(1+$A8)^5+'Cash Flow'!L13/(1+$A8)^6+('Cash Flow'!L13*(1+C$3)/($A8-C$3))/(1+$A8)^6-Assumptions!B25)/Assumptions!B26)</f>
        <v/>
      </c>
      <c r="D8" s="181">
        <f>IF($A8&lt;=D$3,"N/A",('Cash Flow'!G13/(1+$A8)^1+'Cash Flow'!H13/(1+$A8)^2+'Cash Flow'!I13/(1+$A8)^3+'Cash Flow'!J13/(1+$A8)^4+'Cash Flow'!K13/(1+$A8)^5+'Cash Flow'!L13/(1+$A8)^6+('Cash Flow'!L13*(1+D$3)/($A8-D$3))/(1+$A8)^6-Assumptions!B25)/Assumptions!B26)</f>
        <v/>
      </c>
      <c r="E8" s="181">
        <f>IF($A8&lt;=E$3,"N/A",('Cash Flow'!G13/(1+$A8)^1+'Cash Flow'!H13/(1+$A8)^2+'Cash Flow'!I13/(1+$A8)^3+'Cash Flow'!J13/(1+$A8)^4+'Cash Flow'!K13/(1+$A8)^5+'Cash Flow'!L13/(1+$A8)^6+('Cash Flow'!L13*(1+E$3)/($A8-E$3))/(1+$A8)^6-Assumptions!B25)/Assumptions!B26)</f>
        <v/>
      </c>
      <c r="F8" s="181">
        <f>IF($A8&lt;=F$3,"N/A",('Cash Flow'!G13/(1+$A8)^1+'Cash Flow'!H13/(1+$A8)^2+'Cash Flow'!I13/(1+$A8)^3+'Cash Flow'!J13/(1+$A8)^4+'Cash Flow'!K13/(1+$A8)^5+'Cash Flow'!L13/(1+$A8)^6+('Cash Flow'!L13*(1+F$3)/($A8-F$3))/(1+$A8)^6-Assumptions!B25)/Assumptions!B26)</f>
        <v/>
      </c>
      <c r="G8" s="181">
        <f>IF($A8&lt;=G$3,"N/A",('Cash Flow'!G13/(1+$A8)^1+'Cash Flow'!H13/(1+$A8)^2+'Cash Flow'!I13/(1+$A8)^3+'Cash Flow'!J13/(1+$A8)^4+'Cash Flow'!K13/(1+$A8)^5+'Cash Flow'!L13/(1+$A8)^6+('Cash Flow'!L13*(1+G$3)/($A8-G$3))/(1+$A8)^6-Assumptions!B25)/Assumptions!B26)</f>
        <v/>
      </c>
      <c r="H8" s="181">
        <f>IF($A8&lt;=H$3,"N/A",('Cash Flow'!G13/(1+$A8)^1+'Cash Flow'!H13/(1+$A8)^2+'Cash Flow'!I13/(1+$A8)^3+'Cash Flow'!J13/(1+$A8)^4+'Cash Flow'!K13/(1+$A8)^5+'Cash Flow'!L13/(1+$A8)^6+('Cash Flow'!L13*(1+H$3)/($A8-H$3))/(1+$A8)^6-Assumptions!B25)/Assumptions!B26)</f>
        <v/>
      </c>
    </row>
    <row r="9" ht="18" customHeight="1" s="115">
      <c r="A9" s="180" t="n">
        <v>0.08500000000000001</v>
      </c>
      <c r="B9" s="181">
        <f>IF($A9&lt;=B$3,"N/A",('Cash Flow'!G13/(1+$A9)^1+'Cash Flow'!H13/(1+$A9)^2+'Cash Flow'!I13/(1+$A9)^3+'Cash Flow'!J13/(1+$A9)^4+'Cash Flow'!K13/(1+$A9)^5+'Cash Flow'!L13/(1+$A9)^6+('Cash Flow'!L13*(1+B$3)/($A9-B$3))/(1+$A9)^6-Assumptions!B25)/Assumptions!B26)</f>
        <v/>
      </c>
      <c r="C9" s="181">
        <f>IF($A9&lt;=C$3,"N/A",('Cash Flow'!G13/(1+$A9)^1+'Cash Flow'!H13/(1+$A9)^2+'Cash Flow'!I13/(1+$A9)^3+'Cash Flow'!J13/(1+$A9)^4+'Cash Flow'!K13/(1+$A9)^5+'Cash Flow'!L13/(1+$A9)^6+('Cash Flow'!L13*(1+C$3)/($A9-C$3))/(1+$A9)^6-Assumptions!B25)/Assumptions!B26)</f>
        <v/>
      </c>
      <c r="D9" s="181">
        <f>IF($A9&lt;=D$3,"N/A",('Cash Flow'!G13/(1+$A9)^1+'Cash Flow'!H13/(1+$A9)^2+'Cash Flow'!I13/(1+$A9)^3+'Cash Flow'!J13/(1+$A9)^4+'Cash Flow'!K13/(1+$A9)^5+'Cash Flow'!L13/(1+$A9)^6+('Cash Flow'!L13*(1+D$3)/($A9-D$3))/(1+$A9)^6-Assumptions!B25)/Assumptions!B26)</f>
        <v/>
      </c>
      <c r="E9" s="181">
        <f>IF($A9&lt;=E$3,"N/A",('Cash Flow'!G13/(1+$A9)^1+'Cash Flow'!H13/(1+$A9)^2+'Cash Flow'!I13/(1+$A9)^3+'Cash Flow'!J13/(1+$A9)^4+'Cash Flow'!K13/(1+$A9)^5+'Cash Flow'!L13/(1+$A9)^6+('Cash Flow'!L13*(1+E$3)/($A9-E$3))/(1+$A9)^6-Assumptions!B25)/Assumptions!B26)</f>
        <v/>
      </c>
      <c r="F9" s="181">
        <f>IF($A9&lt;=F$3,"N/A",('Cash Flow'!G13/(1+$A9)^1+'Cash Flow'!H13/(1+$A9)^2+'Cash Flow'!I13/(1+$A9)^3+'Cash Flow'!J13/(1+$A9)^4+'Cash Flow'!K13/(1+$A9)^5+'Cash Flow'!L13/(1+$A9)^6+('Cash Flow'!L13*(1+F$3)/($A9-F$3))/(1+$A9)^6-Assumptions!B25)/Assumptions!B26)</f>
        <v/>
      </c>
      <c r="G9" s="181">
        <f>IF($A9&lt;=G$3,"N/A",('Cash Flow'!G13/(1+$A9)^1+'Cash Flow'!H13/(1+$A9)^2+'Cash Flow'!I13/(1+$A9)^3+'Cash Flow'!J13/(1+$A9)^4+'Cash Flow'!K13/(1+$A9)^5+'Cash Flow'!L13/(1+$A9)^6+('Cash Flow'!L13*(1+G$3)/($A9-G$3))/(1+$A9)^6-Assumptions!B25)/Assumptions!B26)</f>
        <v/>
      </c>
      <c r="H9" s="181">
        <f>IF($A9&lt;=H$3,"N/A",('Cash Flow'!G13/(1+$A9)^1+'Cash Flow'!H13/(1+$A9)^2+'Cash Flow'!I13/(1+$A9)^3+'Cash Flow'!J13/(1+$A9)^4+'Cash Flow'!K13/(1+$A9)^5+'Cash Flow'!L13/(1+$A9)^6+('Cash Flow'!L13*(1+H$3)/($A9-H$3))/(1+$A9)^6-Assumptions!B25)/Assumptions!B26)</f>
        <v/>
      </c>
    </row>
    <row r="10" ht="18" customHeight="1" s="115">
      <c r="A10" s="180" t="n">
        <v>0.09</v>
      </c>
      <c r="B10" s="181">
        <f>IF($A10&lt;=B$3,"N/A",('Cash Flow'!G13/(1+$A10)^1+'Cash Flow'!H13/(1+$A10)^2+'Cash Flow'!I13/(1+$A10)^3+'Cash Flow'!J13/(1+$A10)^4+'Cash Flow'!K13/(1+$A10)^5+'Cash Flow'!L13/(1+$A10)^6+('Cash Flow'!L13*(1+B$3)/($A10-B$3))/(1+$A10)^6-Assumptions!B25)/Assumptions!B26)</f>
        <v/>
      </c>
      <c r="C10" s="181">
        <f>IF($A10&lt;=C$3,"N/A",('Cash Flow'!G13/(1+$A10)^1+'Cash Flow'!H13/(1+$A10)^2+'Cash Flow'!I13/(1+$A10)^3+'Cash Flow'!J13/(1+$A10)^4+'Cash Flow'!K13/(1+$A10)^5+'Cash Flow'!L13/(1+$A10)^6+('Cash Flow'!L13*(1+C$3)/($A10-C$3))/(1+$A10)^6-Assumptions!B25)/Assumptions!B26)</f>
        <v/>
      </c>
      <c r="D10" s="181">
        <f>IF($A10&lt;=D$3,"N/A",('Cash Flow'!G13/(1+$A10)^1+'Cash Flow'!H13/(1+$A10)^2+'Cash Flow'!I13/(1+$A10)^3+'Cash Flow'!J13/(1+$A10)^4+'Cash Flow'!K13/(1+$A10)^5+'Cash Flow'!L13/(1+$A10)^6+('Cash Flow'!L13*(1+D$3)/($A10-D$3))/(1+$A10)^6-Assumptions!B25)/Assumptions!B26)</f>
        <v/>
      </c>
      <c r="E10" s="181">
        <f>IF($A10&lt;=E$3,"N/A",('Cash Flow'!G13/(1+$A10)^1+'Cash Flow'!H13/(1+$A10)^2+'Cash Flow'!I13/(1+$A10)^3+'Cash Flow'!J13/(1+$A10)^4+'Cash Flow'!K13/(1+$A10)^5+'Cash Flow'!L13/(1+$A10)^6+('Cash Flow'!L13*(1+E$3)/($A10-E$3))/(1+$A10)^6-Assumptions!B25)/Assumptions!B26)</f>
        <v/>
      </c>
      <c r="F10" s="181">
        <f>IF($A10&lt;=F$3,"N/A",('Cash Flow'!G13/(1+$A10)^1+'Cash Flow'!H13/(1+$A10)^2+'Cash Flow'!I13/(1+$A10)^3+'Cash Flow'!J13/(1+$A10)^4+'Cash Flow'!K13/(1+$A10)^5+'Cash Flow'!L13/(1+$A10)^6+('Cash Flow'!L13*(1+F$3)/($A10-F$3))/(1+$A10)^6-Assumptions!B25)/Assumptions!B26)</f>
        <v/>
      </c>
      <c r="G10" s="181">
        <f>IF($A10&lt;=G$3,"N/A",('Cash Flow'!G13/(1+$A10)^1+'Cash Flow'!H13/(1+$A10)^2+'Cash Flow'!I13/(1+$A10)^3+'Cash Flow'!J13/(1+$A10)^4+'Cash Flow'!K13/(1+$A10)^5+'Cash Flow'!L13/(1+$A10)^6+('Cash Flow'!L13*(1+G$3)/($A10-G$3))/(1+$A10)^6-Assumptions!B25)/Assumptions!B26)</f>
        <v/>
      </c>
      <c r="H10" s="181">
        <f>IF($A10&lt;=H$3,"N/A",('Cash Flow'!G13/(1+$A10)^1+'Cash Flow'!H13/(1+$A10)^2+'Cash Flow'!I13/(1+$A10)^3+'Cash Flow'!J13/(1+$A10)^4+'Cash Flow'!K13/(1+$A10)^5+'Cash Flow'!L13/(1+$A10)^6+('Cash Flow'!L13*(1+H$3)/($A10-H$3))/(1+$A10)^6-Assumptions!B25)/Assumptions!B26)</f>
        <v/>
      </c>
    </row>
    <row r="12" ht="36" customHeight="1" s="115">
      <c r="A12" s="122" t="inlineStr">
        <is>
          <t>Yellow = base case (WACC≈7.16%, TGR=2.0%). 'N/A' = WACC ≤ TGR (terminal value undefined). Read across rows for TGR sensitivity; down columns for WACC sensitivity. Stress: WACC at 8.5% (leverage scenario) sharply reduces implied price.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2" customWidth="1" style="114" min="1" max="12"/>
  </cols>
  <sheetData>
    <row r="1" ht="33.75" customHeight="1" s="115">
      <c r="A1" s="183" t="inlineStr">
        <is>
          <t>LUFTHANSA GROUP (LHA.DE)  ·  INTEGRATED FINANCIAL VALUATION &amp; FORECASTING MODEL  ·  v4.0  ·  July 2026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2" t="n"/>
    </row>
    <row r="2" ht="18" customHeight="1" s="115">
      <c r="A2" s="184" t="inlineStr">
        <is>
          <t>Analyst: Emmanuel Sarpong  |  EUR (€ millions)  |  Data: LH Annual Reports 2020–2024 + LH IR  |  github.com/emmasarps/lufthansa-financial-valuation-model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 ht="4.5" customHeight="1" s="115"/>
    <row r="4" ht="16.5" customHeight="1" s="115">
      <c r="A4" s="185" t="inlineStr">
        <is>
          <t>◾  2024 ACTUALS  ·  KEY PERFORMANCE INDICATORS  (all verified — LH Annual Report 2024 / LH IR website)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2" t="n"/>
    </row>
    <row r="5" ht="15.75" customHeight="1" s="115">
      <c r="A5" s="186" t="inlineStr">
        <is>
          <t>REVENUE  (€M)</t>
        </is>
      </c>
      <c r="B5" s="132" t="n"/>
      <c r="C5" s="186" t="inlineStr">
        <is>
          <t>EBITDA  (€M)</t>
        </is>
      </c>
      <c r="D5" s="132" t="n"/>
      <c r="E5" s="186" t="inlineStr">
        <is>
          <t>EBIT  (€M)</t>
        </is>
      </c>
      <c r="F5" s="132" t="n"/>
      <c r="G5" s="186" t="inlineStr">
        <is>
          <t>NET INCOME  (€M)</t>
        </is>
      </c>
      <c r="H5" s="132" t="n"/>
      <c r="I5" s="186" t="inlineStr">
        <is>
          <t>NET DEBT  (€M)</t>
        </is>
      </c>
      <c r="J5" s="132" t="n"/>
      <c r="K5" s="187" t="inlineStr">
        <is>
          <t>DCF IMPLIED PRICE  (€)</t>
        </is>
      </c>
      <c r="L5" s="132" t="n"/>
    </row>
    <row r="6" ht="31.5" customHeight="1" s="115">
      <c r="A6" s="188">
        <f>'Income Statement'!F3</f>
        <v/>
      </c>
      <c r="B6" s="132" t="n"/>
      <c r="C6" s="188">
        <f>'Income Statement'!F6</f>
        <v/>
      </c>
      <c r="D6" s="132" t="n"/>
      <c r="E6" s="188">
        <f>'Income Statement'!F4</f>
        <v/>
      </c>
      <c r="F6" s="132" t="n"/>
      <c r="G6" s="188">
        <f>'Income Statement'!F10</f>
        <v/>
      </c>
      <c r="H6" s="132" t="n"/>
      <c r="I6" s="188">
        <f>Assumptions!B25</f>
        <v/>
      </c>
      <c r="J6" s="132" t="n"/>
      <c r="K6" s="189">
        <f>'DCF Valuation'!B23</f>
        <v/>
      </c>
      <c r="L6" s="132" t="n"/>
    </row>
    <row r="7" ht="15" customHeight="1" s="115">
      <c r="A7" s="190">
        <f>"▲ "&amp;TEXT(Assumptions!F4,"0.0%")&amp;" vs FY2023"</f>
        <v/>
      </c>
      <c r="B7" s="132" t="n"/>
      <c r="C7" s="190">
        <f>"Margin: "&amp;TEXT('Income Statement'!F14,"0.0%")</f>
        <v/>
      </c>
      <c r="D7" s="132" t="n"/>
      <c r="E7" s="190">
        <f>"Margin: "&amp;TEXT('Income Statement'!F13,"0.0%")</f>
        <v/>
      </c>
      <c r="F7" s="132" t="n"/>
      <c r="G7" s="190">
        <f>"Net Margin: "&amp;TEXT('Income Statement'!F15,"0.0%")</f>
        <v/>
      </c>
      <c r="H7" s="132" t="n"/>
      <c r="I7" s="190">
        <f>"ND / EBITDA: "&amp;TEXT(Assumptions!B25/'Income Statement'!F6,"0.0x")</f>
        <v/>
      </c>
      <c r="J7" s="132" t="n"/>
      <c r="K7" s="191">
        <f>"vs €"&amp;TEXT(Assumptions!B27,"0.00")&amp;" mkt  ·  "&amp;TEXT('DCF Valuation'!B25,"0.0%")&amp;" upside"</f>
        <v/>
      </c>
      <c r="L7" s="132" t="n"/>
    </row>
    <row r="8" ht="6" customHeight="1" s="115"/>
    <row r="9" ht="16.5" customHeight="1" s="115">
      <c r="A9" s="185" t="inlineStr">
        <is>
          <t>◾  FINANCIAL PERFORMANCE SUMMARY  ·  2020A – 2024A Verified Historical  ·  2025E – 2030E Forecast</t>
        </is>
      </c>
      <c r="B9" s="131" t="n"/>
      <c r="C9" s="131" t="n"/>
      <c r="D9" s="131" t="n"/>
      <c r="E9" s="131" t="n"/>
      <c r="F9" s="131" t="n"/>
      <c r="G9" s="131" t="n"/>
      <c r="H9" s="131" t="n"/>
      <c r="I9" s="131" t="n"/>
      <c r="J9" s="131" t="n"/>
      <c r="K9" s="131" t="n"/>
      <c r="L9" s="132" t="n"/>
    </row>
    <row r="10" ht="18" customHeight="1" s="115">
      <c r="A10" s="192" t="inlineStr">
        <is>
          <t>Metric</t>
        </is>
      </c>
      <c r="B10" s="192" t="inlineStr">
        <is>
          <t>2020A</t>
        </is>
      </c>
      <c r="C10" s="192" t="inlineStr">
        <is>
          <t>2021A</t>
        </is>
      </c>
      <c r="D10" s="192" t="inlineStr">
        <is>
          <t>2022A</t>
        </is>
      </c>
      <c r="E10" s="192" t="inlineStr">
        <is>
          <t>2023A</t>
        </is>
      </c>
      <c r="F10" s="192" t="inlineStr">
        <is>
          <t>2024A</t>
        </is>
      </c>
      <c r="G10" s="185" t="inlineStr">
        <is>
          <t>2025E</t>
        </is>
      </c>
      <c r="H10" s="185" t="inlineStr">
        <is>
          <t>2026E</t>
        </is>
      </c>
      <c r="I10" s="185" t="inlineStr">
        <is>
          <t>2027E</t>
        </is>
      </c>
      <c r="J10" s="185" t="inlineStr">
        <is>
          <t>2028E</t>
        </is>
      </c>
      <c r="K10" s="185" t="inlineStr">
        <is>
          <t>2029E</t>
        </is>
      </c>
      <c r="L10" s="185" t="inlineStr">
        <is>
          <t>2030E</t>
        </is>
      </c>
    </row>
    <row r="11" ht="16.5" customHeight="1" s="115">
      <c r="A11" s="118" t="inlineStr">
        <is>
          <t>Revenue  (€M)</t>
        </is>
      </c>
      <c r="B11" s="193">
        <f>'Income Statement'!B3</f>
        <v/>
      </c>
      <c r="C11" s="193">
        <f>'Income Statement'!C3</f>
        <v/>
      </c>
      <c r="D11" s="193">
        <f>'Income Statement'!D3</f>
        <v/>
      </c>
      <c r="E11" s="193">
        <f>'Income Statement'!E3</f>
        <v/>
      </c>
      <c r="F11" s="193">
        <f>'Income Statement'!F3</f>
        <v/>
      </c>
      <c r="G11" s="194">
        <f>'Income Statement'!G3</f>
        <v/>
      </c>
      <c r="H11" s="194">
        <f>'Income Statement'!H3</f>
        <v/>
      </c>
      <c r="I11" s="194">
        <f>'Income Statement'!I3</f>
        <v/>
      </c>
      <c r="J11" s="194">
        <f>'Income Statement'!J3</f>
        <v/>
      </c>
      <c r="K11" s="194">
        <f>'Income Statement'!K3</f>
        <v/>
      </c>
      <c r="L11" s="194">
        <f>'Income Statement'!L3</f>
        <v/>
      </c>
    </row>
    <row r="12" ht="16.5" customHeight="1" s="115">
      <c r="A12" s="118" t="inlineStr">
        <is>
          <t>Revenue Growth %</t>
        </is>
      </c>
      <c r="B12" s="195">
        <f>IF(ISNUMBER(Assumptions!B4),Assumptions!B4,"-")</f>
        <v/>
      </c>
      <c r="C12" s="195">
        <f>IF(ISNUMBER(Assumptions!C4),Assumptions!C4,"-")</f>
        <v/>
      </c>
      <c r="D12" s="195">
        <f>IF(ISNUMBER(Assumptions!D4),Assumptions!D4,"-")</f>
        <v/>
      </c>
      <c r="E12" s="195">
        <f>IF(ISNUMBER(Assumptions!E4),Assumptions!E4,"-")</f>
        <v/>
      </c>
      <c r="F12" s="195">
        <f>IF(ISNUMBER(Assumptions!F4),Assumptions!F4,"-")</f>
        <v/>
      </c>
      <c r="G12" s="196">
        <f>IF(ISNUMBER(Assumptions!G4),Assumptions!G4,"-")</f>
        <v/>
      </c>
      <c r="H12" s="196">
        <f>IF(ISNUMBER(Assumptions!H4),Assumptions!H4,"-")</f>
        <v/>
      </c>
      <c r="I12" s="196">
        <f>IF(ISNUMBER(Assumptions!I4),Assumptions!I4,"-")</f>
        <v/>
      </c>
      <c r="J12" s="196">
        <f>IF(ISNUMBER(Assumptions!J4),Assumptions!J4,"-")</f>
        <v/>
      </c>
      <c r="K12" s="196">
        <f>IF(ISNUMBER(Assumptions!K4),Assumptions!K4,"-")</f>
        <v/>
      </c>
      <c r="L12" s="196">
        <f>IF(ISNUMBER(Assumptions!L4),Assumptions!L4,"-")</f>
        <v/>
      </c>
    </row>
    <row r="13" ht="16.5" customHeight="1" s="115">
      <c r="A13" s="118" t="inlineStr">
        <is>
          <t>EBITDA Margin %</t>
        </is>
      </c>
      <c r="B13" s="195">
        <f>'Income Statement'!B14</f>
        <v/>
      </c>
      <c r="C13" s="195">
        <f>'Income Statement'!C14</f>
        <v/>
      </c>
      <c r="D13" s="195">
        <f>'Income Statement'!D14</f>
        <v/>
      </c>
      <c r="E13" s="195">
        <f>'Income Statement'!E14</f>
        <v/>
      </c>
      <c r="F13" s="195">
        <f>'Income Statement'!F14</f>
        <v/>
      </c>
      <c r="G13" s="196">
        <f>'Income Statement'!G14</f>
        <v/>
      </c>
      <c r="H13" s="196">
        <f>'Income Statement'!H14</f>
        <v/>
      </c>
      <c r="I13" s="196">
        <f>'Income Statement'!I14</f>
        <v/>
      </c>
      <c r="J13" s="196">
        <f>'Income Statement'!J14</f>
        <v/>
      </c>
      <c r="K13" s="196">
        <f>'Income Statement'!K14</f>
        <v/>
      </c>
      <c r="L13" s="196">
        <f>'Income Statement'!L14</f>
        <v/>
      </c>
    </row>
    <row r="14" ht="16.5" customHeight="1" s="115">
      <c r="A14" s="118" t="inlineStr">
        <is>
          <t>EBIT Margin %</t>
        </is>
      </c>
      <c r="B14" s="195">
        <f>'Income Statement'!B13</f>
        <v/>
      </c>
      <c r="C14" s="195">
        <f>'Income Statement'!C13</f>
        <v/>
      </c>
      <c r="D14" s="195">
        <f>'Income Statement'!D13</f>
        <v/>
      </c>
      <c r="E14" s="195">
        <f>'Income Statement'!E13</f>
        <v/>
      </c>
      <c r="F14" s="195">
        <f>'Income Statement'!F13</f>
        <v/>
      </c>
      <c r="G14" s="196">
        <f>'Income Statement'!G13</f>
        <v/>
      </c>
      <c r="H14" s="196">
        <f>'Income Statement'!H13</f>
        <v/>
      </c>
      <c r="I14" s="196">
        <f>'Income Statement'!I13</f>
        <v/>
      </c>
      <c r="J14" s="196">
        <f>'Income Statement'!J13</f>
        <v/>
      </c>
      <c r="K14" s="196">
        <f>'Income Statement'!K13</f>
        <v/>
      </c>
      <c r="L14" s="196">
        <f>'Income Statement'!L13</f>
        <v/>
      </c>
    </row>
    <row r="15" ht="16.5" customHeight="1" s="115">
      <c r="A15" s="118" t="inlineStr">
        <is>
          <t>Net Margin %</t>
        </is>
      </c>
      <c r="B15" s="195">
        <f>'Income Statement'!B15</f>
        <v/>
      </c>
      <c r="C15" s="195">
        <f>'Income Statement'!C15</f>
        <v/>
      </c>
      <c r="D15" s="195">
        <f>'Income Statement'!D15</f>
        <v/>
      </c>
      <c r="E15" s="195">
        <f>'Income Statement'!E15</f>
        <v/>
      </c>
      <c r="F15" s="195">
        <f>'Income Statement'!F15</f>
        <v/>
      </c>
      <c r="G15" s="196">
        <f>'Income Statement'!G15</f>
        <v/>
      </c>
      <c r="H15" s="196">
        <f>'Income Statement'!H15</f>
        <v/>
      </c>
      <c r="I15" s="196">
        <f>'Income Statement'!I15</f>
        <v/>
      </c>
      <c r="J15" s="196">
        <f>'Income Statement'!J15</f>
        <v/>
      </c>
      <c r="K15" s="196">
        <f>'Income Statement'!K15</f>
        <v/>
      </c>
      <c r="L15" s="196">
        <f>'Income Statement'!L15</f>
        <v/>
      </c>
    </row>
    <row r="16" ht="6" customHeight="1" s="115"/>
    <row r="17" ht="18" customHeight="1" s="115">
      <c r="A17" s="130" t="inlineStr">
        <is>
          <t xml:space="preserve">  ◾  DCF VALUATION — EQUITY BRIDGE</t>
        </is>
      </c>
      <c r="B17" s="131" t="n"/>
      <c r="C17" s="131" t="n"/>
      <c r="D17" s="131" t="n"/>
      <c r="E17" s="131" t="n"/>
      <c r="F17" s="132" t="n"/>
      <c r="G17" s="130" t="inlineStr">
        <is>
          <t xml:space="preserve">  ◾  COMPARABLE COMPANY ANALYSIS  (EV/EBITDA, FY2024A)</t>
        </is>
      </c>
      <c r="H17" s="131" t="n"/>
      <c r="I17" s="131" t="n"/>
      <c r="J17" s="131" t="n"/>
      <c r="K17" s="131" t="n"/>
      <c r="L17" s="132" t="n"/>
    </row>
    <row r="18" ht="16.5" customHeight="1" s="115">
      <c r="A18" s="197" t="inlineStr">
        <is>
          <t xml:space="preserve">  Sum of PV FCFFs  (2025E–2030E)</t>
        </is>
      </c>
      <c r="B18" s="131" t="n"/>
      <c r="C18" s="132" t="n"/>
      <c r="D18" s="198">
        <f>'DCF Valuation'!B17</f>
        <v/>
      </c>
      <c r="E18" s="131" t="n"/>
      <c r="F18" s="132" t="n"/>
      <c r="G18" s="199" t="inlineStr">
        <is>
          <t>Company</t>
        </is>
      </c>
      <c r="H18" s="199" t="inlineStr">
        <is>
          <t>Mkt Cap</t>
        </is>
      </c>
      <c r="I18" s="199" t="inlineStr">
        <is>
          <t>EV (€M)</t>
        </is>
      </c>
      <c r="J18" s="199" t="inlineStr">
        <is>
          <t>EV/EBITDA</t>
        </is>
      </c>
      <c r="K18" s="199" t="inlineStr">
        <is>
          <t>P/E</t>
        </is>
      </c>
    </row>
    <row r="19" ht="15.75" customHeight="1" s="115">
      <c r="A19" s="197" t="inlineStr">
        <is>
          <t xml:space="preserve">  PV of Terminal Value  (Gordon Growth)</t>
        </is>
      </c>
      <c r="B19" s="131" t="n"/>
      <c r="C19" s="132" t="n"/>
      <c r="D19" s="198">
        <f>'DCF Valuation'!B18</f>
        <v/>
      </c>
      <c r="E19" s="131" t="n"/>
      <c r="F19" s="132" t="n"/>
      <c r="G19" s="200" t="inlineStr">
        <is>
          <t>Lufthansa (LHA.DE)</t>
        </is>
      </c>
      <c r="H19" s="201">
        <f>Comparables!B3</f>
        <v/>
      </c>
      <c r="I19" s="202">
        <f>Comparables!D3</f>
        <v/>
      </c>
      <c r="J19" s="203">
        <f>Comparables!G3</f>
        <v/>
      </c>
      <c r="K19" s="204">
        <f>Comparables!H3</f>
        <v/>
      </c>
      <c r="L19" s="205" t="n"/>
    </row>
    <row r="20" ht="15.75" customHeight="1" s="115">
      <c r="A20" s="206" t="inlineStr">
        <is>
          <t xml:space="preserve">  Enterprise Value  (EV)</t>
        </is>
      </c>
      <c r="B20" s="131" t="n"/>
      <c r="C20" s="132" t="n"/>
      <c r="D20" s="207">
        <f>'DCF Valuation'!B19</f>
        <v/>
      </c>
      <c r="E20" s="131" t="n"/>
      <c r="F20" s="132" t="n"/>
      <c r="G20" s="208" t="inlineStr">
        <is>
          <t>Ryanair</t>
        </is>
      </c>
      <c r="H20" s="209">
        <f>Comparables!B4</f>
        <v/>
      </c>
      <c r="I20" s="210">
        <f>Comparables!D4</f>
        <v/>
      </c>
      <c r="J20" s="211">
        <f>Comparables!G4</f>
        <v/>
      </c>
      <c r="K20" s="211">
        <f>Comparables!H4</f>
        <v/>
      </c>
      <c r="L20" s="205" t="n"/>
    </row>
    <row r="21" ht="15.75" customHeight="1" s="115">
      <c r="A21" s="197" t="inlineStr">
        <is>
          <t xml:space="preserve">  Less: Net Debt  (2024A verified)</t>
        </is>
      </c>
      <c r="B21" s="131" t="n"/>
      <c r="C21" s="132" t="n"/>
      <c r="D21" s="198">
        <f>Assumptions!B25</f>
        <v/>
      </c>
      <c r="E21" s="131" t="n"/>
      <c r="F21" s="132" t="n"/>
      <c r="G21" s="208" t="inlineStr">
        <is>
          <t>IAG</t>
        </is>
      </c>
      <c r="H21" s="209">
        <f>Comparables!B5</f>
        <v/>
      </c>
      <c r="I21" s="210">
        <f>Comparables!D5</f>
        <v/>
      </c>
      <c r="J21" s="211">
        <f>Comparables!G5</f>
        <v/>
      </c>
      <c r="K21" s="211">
        <f>Comparables!H5</f>
        <v/>
      </c>
      <c r="L21" s="205" t="n"/>
    </row>
    <row r="22" ht="15.75" customHeight="1" s="115">
      <c r="A22" s="212" t="inlineStr">
        <is>
          <t xml:space="preserve">  Equity Value</t>
        </is>
      </c>
      <c r="B22" s="131" t="n"/>
      <c r="C22" s="132" t="n"/>
      <c r="D22" s="213">
        <f>'DCF Valuation'!B21</f>
        <v/>
      </c>
      <c r="E22" s="131" t="n"/>
      <c r="F22" s="132" t="n"/>
      <c r="G22" s="208" t="inlineStr">
        <is>
          <t>Air France-KLM</t>
        </is>
      </c>
      <c r="H22" s="209">
        <f>Comparables!B6</f>
        <v/>
      </c>
      <c r="I22" s="210">
        <f>Comparables!D6</f>
        <v/>
      </c>
      <c r="J22" s="211">
        <f>Comparables!G6</f>
        <v/>
      </c>
      <c r="K22" s="211">
        <f>Comparables!H6</f>
        <v/>
      </c>
      <c r="L22" s="205" t="n"/>
    </row>
    <row r="23" ht="15.75" customHeight="1" s="115">
      <c r="A23" s="197" t="inlineStr">
        <is>
          <t xml:space="preserve">  ÷ Shares Outstanding  (M)</t>
        </is>
      </c>
      <c r="B23" s="131" t="n"/>
      <c r="C23" s="132" t="n"/>
      <c r="D23" s="198">
        <f>Assumptions!B26</f>
        <v/>
      </c>
      <c r="E23" s="131" t="n"/>
      <c r="F23" s="132" t="n"/>
      <c r="G23" s="208" t="inlineStr">
        <is>
          <t>easyJet</t>
        </is>
      </c>
      <c r="H23" s="209">
        <f>Comparables!B7</f>
        <v/>
      </c>
      <c r="I23" s="210">
        <f>Comparables!D7</f>
        <v/>
      </c>
      <c r="J23" s="211">
        <f>Comparables!G7</f>
        <v/>
      </c>
      <c r="K23" s="211">
        <f>Comparables!H7</f>
        <v/>
      </c>
      <c r="L23" s="205" t="n"/>
    </row>
    <row r="24" ht="15.75" customHeight="1" s="115">
      <c r="A24" s="214" t="inlineStr">
        <is>
          <t xml:space="preserve">  DCF Implied Share Price  (€)</t>
        </is>
      </c>
      <c r="B24" s="131" t="n"/>
      <c r="C24" s="132" t="n"/>
      <c r="D24" s="215">
        <f>'DCF Valuation'!B23</f>
        <v/>
      </c>
      <c r="E24" s="131" t="n"/>
      <c r="F24" s="132" t="n"/>
      <c r="G24" s="216" t="inlineStr">
        <is>
          <t>Median (ex-LH)</t>
        </is>
      </c>
      <c r="H24" s="217">
        <f>Comparables!B8</f>
        <v/>
      </c>
      <c r="I24" s="217">
        <f>Comparables!D8</f>
        <v/>
      </c>
      <c r="J24" s="218">
        <f>Comparables!G8</f>
        <v/>
      </c>
      <c r="K24" s="218">
        <f>Comparables!H8</f>
        <v/>
      </c>
      <c r="L24" s="219" t="n"/>
    </row>
    <row r="25" ht="16.5" customHeight="1" s="115">
      <c r="A25" s="197" t="inlineStr">
        <is>
          <t xml:space="preserve">  Reference: 2024 Year-End Price  (€)</t>
        </is>
      </c>
      <c r="B25" s="131" t="n"/>
      <c r="C25" s="132" t="n"/>
      <c r="D25" s="220">
        <f>Assumptions!B27</f>
        <v/>
      </c>
      <c r="E25" s="131" t="n"/>
      <c r="F25" s="132" t="n"/>
      <c r="G25" s="221" t="inlineStr">
        <is>
          <t>Comps-Implied Share Price  (€)</t>
        </is>
      </c>
      <c r="H25" s="131" t="n"/>
      <c r="I25" s="132" t="n"/>
      <c r="J25" s="215">
        <f>Comparables!B18</f>
        <v/>
      </c>
      <c r="K25" s="131" t="n"/>
      <c r="L25" s="132" t="n"/>
    </row>
    <row r="26" ht="15" customHeight="1" s="115">
      <c r="A26" s="222" t="inlineStr">
        <is>
          <t xml:space="preserve">  WACC  (build-up: Ke×We + Kd(AT)×Wd)</t>
        </is>
      </c>
      <c r="B26" s="131" t="n"/>
      <c r="C26" s="132" t="n"/>
      <c r="D26" s="223">
        <f>Assumptions!B21</f>
        <v/>
      </c>
      <c r="E26" s="131" t="n"/>
      <c r="F26" s="132" t="n"/>
      <c r="G26" s="205" t="n"/>
      <c r="H26" s="205" t="n"/>
      <c r="I26" s="205" t="n"/>
      <c r="J26" s="205" t="n"/>
      <c r="K26" s="205" t="n"/>
      <c r="L26" s="205" t="n"/>
    </row>
    <row r="27" ht="15" customHeight="1" s="115">
      <c r="A27" s="222" t="inlineStr">
        <is>
          <t xml:space="preserve">  Terminal Growth Rate</t>
        </is>
      </c>
      <c r="B27" s="131" t="n"/>
      <c r="C27" s="132" t="n"/>
      <c r="D27" s="223">
        <f>Assumptions!B22</f>
        <v/>
      </c>
      <c r="E27" s="131" t="n"/>
      <c r="F27" s="132" t="n"/>
      <c r="G27" s="205" t="n"/>
      <c r="H27" s="205" t="n"/>
      <c r="I27" s="205" t="n"/>
      <c r="J27" s="205" t="n"/>
      <c r="K27" s="205" t="n"/>
      <c r="L27" s="205" t="n"/>
    </row>
    <row r="28" ht="6" customHeight="1" s="115"/>
    <row r="29" ht="16.5" customHeight="1" s="115">
      <c r="A29" s="185" t="inlineStr">
        <is>
          <t>◾  SENSITIVITY ANALYSIS  ·  Implied Share Price (€)  |  WACC  ×  Terminal Growth Rate  |  Yellow = base case</t>
        </is>
      </c>
      <c r="B29" s="131" t="n"/>
      <c r="C29" s="131" t="n"/>
      <c r="D29" s="131" t="n"/>
      <c r="E29" s="131" t="n"/>
      <c r="F29" s="131" t="n"/>
      <c r="G29" s="131" t="n"/>
      <c r="H29" s="131" t="n"/>
      <c r="I29" s="131" t="n"/>
      <c r="J29" s="131" t="n"/>
      <c r="K29" s="131" t="n"/>
      <c r="L29" s="132" t="n"/>
    </row>
    <row r="30" ht="16.5" customHeight="1" s="115">
      <c r="A30" s="192" t="inlineStr">
        <is>
          <t>WACC  ╲  TGR →</t>
        </is>
      </c>
      <c r="B30" s="192" t="inlineStr">
        <is>
          <t>1.5%</t>
        </is>
      </c>
      <c r="C30" s="192" t="inlineStr">
        <is>
          <t>2.0%</t>
        </is>
      </c>
      <c r="D30" s="192" t="inlineStr">
        <is>
          <t>2.5%</t>
        </is>
      </c>
      <c r="E30" s="192" t="inlineStr">
        <is>
          <t>3.0%</t>
        </is>
      </c>
      <c r="F30" s="192" t="inlineStr">
        <is>
          <t>3.5%</t>
        </is>
      </c>
      <c r="G30" s="224" t="inlineStr">
        <is>
          <t>Values from Sensitivity sheet.  Yellow = base case (WACC≈7.2%, TGR=2.0%)</t>
        </is>
      </c>
      <c r="H30" s="131" t="n"/>
      <c r="I30" s="131" t="n"/>
      <c r="J30" s="131" t="n"/>
      <c r="K30" s="131" t="n"/>
      <c r="L30" s="132" t="n"/>
    </row>
    <row r="31" ht="16.5" customHeight="1" s="115">
      <c r="A31" s="192" t="inlineStr">
        <is>
          <t>6.5%</t>
        </is>
      </c>
      <c r="B31" s="225">
        <f>Sensitivity!C5</f>
        <v/>
      </c>
      <c r="C31" s="225">
        <f>Sensitivity!D5</f>
        <v/>
      </c>
      <c r="D31" s="225">
        <f>Sensitivity!E5</f>
        <v/>
      </c>
      <c r="E31" s="225">
        <f>Sensitivity!F5</f>
        <v/>
      </c>
      <c r="F31" s="225">
        <f>Sensitivity!G5</f>
        <v/>
      </c>
      <c r="G31" s="226" t="n"/>
      <c r="H31" s="226" t="n"/>
      <c r="I31" s="226" t="n"/>
      <c r="J31" s="226" t="n"/>
      <c r="K31" s="226" t="n"/>
      <c r="L31" s="226" t="n"/>
    </row>
    <row r="32" ht="16.5" customHeight="1" s="115">
      <c r="A32" s="192" t="inlineStr">
        <is>
          <t>7.0%</t>
        </is>
      </c>
      <c r="B32" s="225">
        <f>Sensitivity!C6</f>
        <v/>
      </c>
      <c r="C32" s="227">
        <f>Sensitivity!D6</f>
        <v/>
      </c>
      <c r="D32" s="225">
        <f>Sensitivity!E6</f>
        <v/>
      </c>
      <c r="E32" s="225">
        <f>Sensitivity!F6</f>
        <v/>
      </c>
      <c r="F32" s="225">
        <f>Sensitivity!G6</f>
        <v/>
      </c>
      <c r="G32" s="226" t="n"/>
      <c r="H32" s="226" t="n"/>
      <c r="I32" s="226" t="n"/>
      <c r="J32" s="226" t="n"/>
      <c r="K32" s="226" t="n"/>
      <c r="L32" s="226" t="n"/>
    </row>
    <row r="33" ht="16.5" customHeight="1" s="115">
      <c r="A33" s="192" t="inlineStr">
        <is>
          <t>7.5%</t>
        </is>
      </c>
      <c r="B33" s="225">
        <f>Sensitivity!C7</f>
        <v/>
      </c>
      <c r="C33" s="225">
        <f>Sensitivity!D7</f>
        <v/>
      </c>
      <c r="D33" s="225">
        <f>Sensitivity!E7</f>
        <v/>
      </c>
      <c r="E33" s="225">
        <f>Sensitivity!F7</f>
        <v/>
      </c>
      <c r="F33" s="225">
        <f>Sensitivity!G7</f>
        <v/>
      </c>
      <c r="G33" s="226" t="n"/>
      <c r="H33" s="226" t="n"/>
      <c r="I33" s="226" t="n"/>
      <c r="J33" s="226" t="n"/>
      <c r="K33" s="226" t="n"/>
      <c r="L33" s="226" t="n"/>
    </row>
    <row r="34" ht="16.5" customHeight="1" s="115">
      <c r="A34" s="192" t="inlineStr">
        <is>
          <t>8.0%</t>
        </is>
      </c>
      <c r="B34" s="225">
        <f>Sensitivity!C8</f>
        <v/>
      </c>
      <c r="C34" s="225">
        <f>Sensitivity!D8</f>
        <v/>
      </c>
      <c r="D34" s="225">
        <f>Sensitivity!E8</f>
        <v/>
      </c>
      <c r="E34" s="225">
        <f>Sensitivity!F8</f>
        <v/>
      </c>
      <c r="F34" s="225">
        <f>Sensitivity!G8</f>
        <v/>
      </c>
      <c r="G34" s="226" t="n"/>
      <c r="H34" s="226" t="n"/>
      <c r="I34" s="226" t="n"/>
      <c r="J34" s="226" t="n"/>
      <c r="K34" s="226" t="n"/>
      <c r="L34" s="226" t="n"/>
    </row>
    <row r="35" ht="16.5" customHeight="1" s="115">
      <c r="A35" s="192" t="inlineStr">
        <is>
          <t>8.5%</t>
        </is>
      </c>
      <c r="B35" s="225">
        <f>Sensitivity!C9</f>
        <v/>
      </c>
      <c r="C35" s="225">
        <f>Sensitivity!D9</f>
        <v/>
      </c>
      <c r="D35" s="225">
        <f>Sensitivity!E9</f>
        <v/>
      </c>
      <c r="E35" s="225">
        <f>Sensitivity!F9</f>
        <v/>
      </c>
      <c r="F35" s="225">
        <f>Sensitivity!G9</f>
        <v/>
      </c>
      <c r="G35" s="226" t="n"/>
      <c r="H35" s="226" t="n"/>
      <c r="I35" s="226" t="n"/>
      <c r="J35" s="226" t="n"/>
      <c r="K35" s="226" t="n"/>
      <c r="L35" s="226" t="n"/>
    </row>
    <row r="36" ht="4.5" customHeight="1" s="115"/>
    <row r="37" ht="42" customHeight="1" s="115">
      <c r="A37" s="228" t="inlineStr">
        <is>
          <t>DATA VERIFICATION STATUS:  Revenue / EBIT / NI 2022–2024 ✓ verified from LH Annual Reports &amp; LH IR.  2022 equity ≈ €8,500M (OCI pension remeasurement — simplified model keeps as estimated).  Comps multiples: approximate Q4 2024 — re-verify before use.  WACC inputs: Rf=2.5% (Bundesbank 2024 avg), β=1.20 (LHA.DE 5Y monthly), ERP=5.5% (Damodaran Jan-2024).  This dashboard is fully linked to the underlying model — change any input to see all outputs update automatically.</t>
        </is>
      </c>
      <c r="B37" s="131" t="n"/>
      <c r="C37" s="131" t="n"/>
      <c r="D37" s="131" t="n"/>
      <c r="E37" s="131" t="n"/>
      <c r="F37" s="131" t="n"/>
      <c r="G37" s="131" t="n"/>
      <c r="H37" s="131" t="n"/>
      <c r="I37" s="131" t="n"/>
      <c r="J37" s="131" t="n"/>
      <c r="K37" s="131" t="n"/>
      <c r="L37" s="131" t="n"/>
    </row>
  </sheetData>
  <mergeCells count="49">
    <mergeCell ref="A25:C25"/>
    <mergeCell ref="C6:D6"/>
    <mergeCell ref="D27:F27"/>
    <mergeCell ref="I6:J6"/>
    <mergeCell ref="C5:D5"/>
    <mergeCell ref="A37:L37"/>
    <mergeCell ref="E5:F5"/>
    <mergeCell ref="K5:L5"/>
    <mergeCell ref="A18:C18"/>
    <mergeCell ref="A27:C27"/>
    <mergeCell ref="A21:C21"/>
    <mergeCell ref="A26:C26"/>
    <mergeCell ref="A6:B6"/>
    <mergeCell ref="G30:L30"/>
    <mergeCell ref="J25:L25"/>
    <mergeCell ref="A2:L2"/>
    <mergeCell ref="A7:B7"/>
    <mergeCell ref="G7:H7"/>
    <mergeCell ref="A23:C23"/>
    <mergeCell ref="I7:J7"/>
    <mergeCell ref="A22:C22"/>
    <mergeCell ref="D18:F18"/>
    <mergeCell ref="A17:F17"/>
    <mergeCell ref="G6:H6"/>
    <mergeCell ref="D25:F25"/>
    <mergeCell ref="A20:C20"/>
    <mergeCell ref="A4:L4"/>
    <mergeCell ref="D24:F24"/>
    <mergeCell ref="G25:I25"/>
    <mergeCell ref="E6:F6"/>
    <mergeCell ref="A19:C19"/>
    <mergeCell ref="A29:L29"/>
    <mergeCell ref="D23:F23"/>
    <mergeCell ref="A5:B5"/>
    <mergeCell ref="G5:H5"/>
    <mergeCell ref="K6:L6"/>
    <mergeCell ref="I5:J5"/>
    <mergeCell ref="D26:F26"/>
    <mergeCell ref="A9:L9"/>
    <mergeCell ref="D20:F20"/>
    <mergeCell ref="A24:C24"/>
    <mergeCell ref="K7:L7"/>
    <mergeCell ref="D19:F19"/>
    <mergeCell ref="C7:D7"/>
    <mergeCell ref="E7:F7"/>
    <mergeCell ref="A1:L1"/>
    <mergeCell ref="D22:F22"/>
    <mergeCell ref="G17:L17"/>
    <mergeCell ref="D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2026-07-06T22:14:02Z</dcterms:created>
  <dcterms:modified xmlns:dcterms="http://purl.org/dc/terms/" xmlns:xsi="http://www.w3.org/2001/XMLSchema-instance" xsi:type="dcterms:W3CDTF">2026-07-14T11:10:04Z</dcterms:modified>
  <cp:revision>0</cp:revision>
</cp:coreProperties>
</file>